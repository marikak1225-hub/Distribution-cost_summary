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ts-marika.a.kitahara\Desktop\"/>
    </mc:Choice>
  </mc:AlternateContent>
  <xr:revisionPtr revIDLastSave="0" documentId="8_{411EC6F8-B4A6-456D-ACCB-1F85FB1994BB}" xr6:coauthVersionLast="47" xr6:coauthVersionMax="47" xr10:uidLastSave="{00000000-0000-0000-0000-000000000000}"/>
  <bookViews>
    <workbookView xWindow="-108" yWindow="-108" windowWidth="23256" windowHeight="13896" xr2:uid="{02B509C2-C50F-4ED7-A634-7CD3247D4778}"/>
  </bookViews>
  <sheets>
    <sheet name="領域別コンディション"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<sst xmlns="http://schemas.openxmlformats.org/spreadsheetml/2006/main" count="195" uniqueCount="77">
  <si>
    <t>daily</t>
  </si>
  <si>
    <t>weekly</t>
  </si>
  <si>
    <t>ALL</t>
  </si>
  <si>
    <t>Daily_AFCV</t>
  </si>
  <si>
    <t>変化率</t>
  </si>
  <si>
    <t>広告費</t>
  </si>
  <si>
    <t>CPA</t>
  </si>
  <si>
    <t>1月～3月平均</t>
  </si>
  <si>
    <t>移管後1W</t>
  </si>
  <si>
    <t>4/8～4/14</t>
  </si>
  <si>
    <t>移管後2W</t>
  </si>
  <si>
    <t>4/15～4/21</t>
  </si>
  <si>
    <t>移管後3W</t>
  </si>
  <si>
    <t>4/22～4/28</t>
  </si>
  <si>
    <t>移管後4W</t>
  </si>
  <si>
    <t>4/29～5/5</t>
  </si>
  <si>
    <t>移管後5W</t>
  </si>
  <si>
    <t>5/6～5/12</t>
  </si>
  <si>
    <t>移管後6W</t>
  </si>
  <si>
    <t>5/13～5/19</t>
  </si>
  <si>
    <t>移管後7W</t>
  </si>
  <si>
    <t>5/20～5/26</t>
  </si>
  <si>
    <t>移管後8W</t>
  </si>
  <si>
    <t>5/27～6/2</t>
  </si>
  <si>
    <t>移管後9W</t>
  </si>
  <si>
    <t>6/3～6/9</t>
  </si>
  <si>
    <t>移管後10W</t>
  </si>
  <si>
    <t>6/10～6/16</t>
  </si>
  <si>
    <t>移管後11W</t>
  </si>
  <si>
    <t>7/1～7/7</t>
  </si>
  <si>
    <t>移管後12W</t>
  </si>
  <si>
    <t>7/8～7/14</t>
  </si>
  <si>
    <t>移管後13W</t>
  </si>
  <si>
    <t>7/15～7/21</t>
  </si>
  <si>
    <t>移管後14W</t>
  </si>
  <si>
    <t>7/22～7/28</t>
  </si>
  <si>
    <t>移管後15W</t>
  </si>
  <si>
    <t>7/29～8/4</t>
  </si>
  <si>
    <t>移管後16W</t>
  </si>
  <si>
    <t>8/5～8/11</t>
  </si>
  <si>
    <t>移管後17W</t>
  </si>
  <si>
    <t>8/12～8/18</t>
  </si>
  <si>
    <t>移管後18W</t>
  </si>
  <si>
    <t>8/19～8/25</t>
  </si>
  <si>
    <t>移管後19W</t>
  </si>
  <si>
    <t>8/26～9/1</t>
  </si>
  <si>
    <t>移管後20W</t>
  </si>
  <si>
    <t>9/2～9/8</t>
  </si>
  <si>
    <t>移管後21W</t>
  </si>
  <si>
    <t>9/9～9/15</t>
  </si>
  <si>
    <t>移管後22W</t>
  </si>
  <si>
    <t>9/30~10/6</t>
  </si>
  <si>
    <t>移管後23W</t>
    <phoneticPr fontId="3"/>
  </si>
  <si>
    <t>10/7~10/13</t>
    <phoneticPr fontId="3"/>
  </si>
  <si>
    <t>移管後24W</t>
    <phoneticPr fontId="3"/>
  </si>
  <si>
    <t>10/14~10/20</t>
    <phoneticPr fontId="3"/>
  </si>
  <si>
    <t>移管後25W</t>
    <phoneticPr fontId="3"/>
  </si>
  <si>
    <t>10/21~10/27</t>
    <phoneticPr fontId="3"/>
  </si>
  <si>
    <t>移管後26W</t>
    <phoneticPr fontId="3"/>
  </si>
  <si>
    <t>10/28~11/3</t>
    <phoneticPr fontId="3"/>
  </si>
  <si>
    <t>AFF</t>
  </si>
  <si>
    <t>件数</t>
  </si>
  <si>
    <t>SEM</t>
  </si>
  <si>
    <t>移管後25W</t>
  </si>
  <si>
    <t>10/21~10/27</t>
  </si>
  <si>
    <t>還元/非還元ｘ移管/既存の象限整理をマンスリーで</t>
  </si>
  <si>
    <t>→毎月末対応予定</t>
  </si>
  <si>
    <t>■サマリコメント</t>
  </si>
  <si>
    <t>領域トータル：100％を下回っている状況は変わらず。</t>
  </si>
  <si>
    <t>▼アフィリエイト</t>
  </si>
  <si>
    <t>　要因（還元）：3連休と月初強化による件数微増（主にハピタスが件数を牽引）、モッピーは新規会員の増加率減少もあり件数停滞</t>
    <rPh sb="4" eb="6">
      <t>カンゲン</t>
    </rPh>
    <phoneticPr fontId="3"/>
  </si>
  <si>
    <t>　要因（非還元）：11月に入り主要比較サイトからの件数流入数低下（特に無限と価格.com）</t>
    <rPh sb="1" eb="3">
      <t>ヨウイン</t>
    </rPh>
    <rPh sb="4" eb="7">
      <t>ヒカンゲン</t>
    </rPh>
    <phoneticPr fontId="3"/>
  </si>
  <si>
    <t>　対策１：主要還元サイトにおけるページ改善対応進行</t>
    <rPh sb="19" eb="21">
      <t>カイゼン</t>
    </rPh>
    <rPh sb="21" eb="23">
      <t>タイオウ</t>
    </rPh>
    <rPh sb="23" eb="25">
      <t>シンコウ</t>
    </rPh>
    <phoneticPr fontId="3"/>
  </si>
  <si>
    <t>　対策２：ネットワーク系媒体のリクルーティングとつなぎ込み実施（SKYFLAG）</t>
    <rPh sb="1" eb="3">
      <t>タイサク</t>
    </rPh>
    <phoneticPr fontId="3"/>
  </si>
  <si>
    <t>▼リスティング</t>
  </si>
  <si>
    <t>　要因：11月度最初のコストが超過しており、抑制調整を行っていたため</t>
    <rPh sb="6" eb="8">
      <t>ガツド</t>
    </rPh>
    <rPh sb="8" eb="10">
      <t>サイショ</t>
    </rPh>
    <rPh sb="15" eb="17">
      <t>チョウカ</t>
    </rPh>
    <rPh sb="22" eb="24">
      <t>ヨクセイ</t>
    </rPh>
    <rPh sb="24" eb="26">
      <t>チョウセイ</t>
    </rPh>
    <rPh sb="27" eb="28">
      <t>オコナ</t>
    </rPh>
    <phoneticPr fontId="3"/>
  </si>
  <si>
    <t>　対策１：プラン達成に限らず、他領域も含めた月度内の外部広告経路の獲得最大化に向けた調整案を検討</t>
    <rPh sb="8" eb="10">
      <t>タッセイ</t>
    </rPh>
    <rPh sb="11" eb="12">
      <t>カギ</t>
    </rPh>
    <rPh sb="15" eb="18">
      <t>ホカリョウイキ</t>
    </rPh>
    <rPh sb="19" eb="20">
      <t>フク</t>
    </rPh>
    <rPh sb="22" eb="24">
      <t>ゲツド</t>
    </rPh>
    <rPh sb="24" eb="25">
      <t>ナイ</t>
    </rPh>
    <rPh sb="26" eb="30">
      <t>ガイブコウコク</t>
    </rPh>
    <rPh sb="30" eb="32">
      <t>ケイロ</t>
    </rPh>
    <rPh sb="33" eb="38">
      <t>カクトクサイダイカ</t>
    </rPh>
    <rPh sb="39" eb="40">
      <t>ム</t>
    </rPh>
    <rPh sb="42" eb="45">
      <t>チョウセイアン</t>
    </rPh>
    <rPh sb="46" eb="48">
      <t>ケントウ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</si>
</sst>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_-* #,##0_-;\-* #,##0_-;_-* &quot;-&quot;_-;_-@_-"/>
    <numFmt numFmtId="177" formatCode="_-&quot;¥&quot;* #,##0_-;\-&quot;¥&quot;* #,##0_-;_-&quot;¥&quot;* &quot;-&quot;_-;_-@_-"/>
    <numFmt numFmtId="178" formatCode="#,##0.0,,;[Red]\-#,##0.0,,"/>
  </numFmts>
  <fonts count="7" x14ac:knownFonts="1">
    <font>
      <sz val="11"/>
      <color theme="1"/>
      <name val="游ゴシック"/>
      <family val="2"/>
      <scheme val="minor"/>
    </font>
    <font>
      <sz val="11"/>
      <color theme="1"/>
      <name val="游ゴシック"/>
      <family val="2"/>
      <scheme val="minor"/>
    </font>
    <font>
      <sz val="11"/>
      <color theme="1"/>
      <name val="Rakuten Sans JP"/>
      <family val="2"/>
      <charset val="128"/>
    </font>
    <font>
      <sz val="6"/>
      <name val="游ゴシック"/>
      <family val="3"/>
      <charset val="128"/>
      <scheme val="minor"/>
    </font>
    <font>
      <u/>
      <sz val="11"/>
      <color theme="1"/>
      <name val="Rakuten Sans JP"/>
      <family val="2"/>
      <charset val="128"/>
    </font>
    <font>
      <sz val="9"/>
      <color theme="1"/>
      <name val="Rakuten Sans JP"/>
      <family val="2"/>
      <charset val="128"/>
    </font>
    <font>
      <b/>
      <sz val="14"/>
      <color theme="1"/>
      <name val="Rakuten Sans JP"/>
      <family val="2"/>
      <charset val="128"/>
    </font>
  </fonts>
  <fills count="5">
    <fill>
      <patternFill patternType="none"/>
    </fill>
    <fill>
      <patternFill patternType="gray125"/>
    </fill>
    <fill>
      <patternFill patternType="solid">
        <fgColor theme="0" tint="-0.34998626667073579"/>
        <bgColor indexed="64"/>
      </patternFill>
    </fill>
    <fill>
      <patternFill patternType="solid">
        <fgColor theme="9" tint="0.79998168889431442"/>
        <bgColor indexed="64"/>
      </patternFill>
    </fill>
    <fill>
      <patternFill patternType="solid">
        <fgColor theme="4" tint="0.79998168889431442"/>
        <bgColor indexed="64"/>
      </patternFill>
    </fill>
  </fills>
  <borders count="8">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4">
    <xf numFmtId="0" fontId="0" fillId="0" borderId="0"/>
    <xf numFmtId="176" fontId="1" fillId="0" borderId="0" applyFont="0" applyFill="0" applyBorder="0" applyAlignment="0" applyProtection="0"/>
    <xf numFmtId="177" fontId="1" fillId="0" borderId="0" applyFont="0" applyFill="0" applyBorder="0" applyAlignment="0" applyProtection="0"/>
    <xf numFmtId="9" fontId="1" fillId="0" borderId="0" applyFont="0" applyFill="0" applyBorder="0" applyAlignment="0" applyProtection="0"/>
  </cellStyleXfs>
  <cellXfs count="35">
    <xf numFmtId="0" fontId="0" fillId="0" borderId="0" xfId="0"/>
    <xf numFmtId="0" fontId="2" fillId="0" borderId="0" xfId="0" applyFont="1"/>
    <xf numFmtId="0" fontId="4" fillId="0" borderId="0" xfId="0" applyFont="1" applyAlignment="1">
      <alignment horizontal="center" vertical="center"/>
    </xf>
    <xf numFmtId="0" fontId="2" fillId="0" borderId="1" xfId="0" applyFont="1" applyBorder="1" applyAlignment="1">
      <alignment horizontal="center"/>
    </xf>
    <xf numFmtId="0" fontId="2" fillId="0" borderId="2" xfId="0" applyFont="1" applyBorder="1" applyAlignment="1">
      <alignment horizontal="center"/>
    </xf>
    <xf numFmtId="0" fontId="5" fillId="0" borderId="3"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176" fontId="2" fillId="0" borderId="6" xfId="1" applyFont="1" applyBorder="1"/>
    <xf numFmtId="0" fontId="2" fillId="2" borderId="6" xfId="0" applyFont="1" applyFill="1" applyBorder="1"/>
    <xf numFmtId="178" fontId="2" fillId="0" borderId="6" xfId="2" applyNumberFormat="1" applyFont="1" applyFill="1" applyBorder="1"/>
    <xf numFmtId="177" fontId="2" fillId="0" borderId="6" xfId="2" applyFont="1" applyFill="1" applyBorder="1"/>
    <xf numFmtId="0" fontId="2" fillId="0" borderId="7" xfId="0" applyFont="1" applyBorder="1"/>
    <xf numFmtId="0" fontId="2" fillId="0" borderId="7" xfId="0" applyFont="1" applyBorder="1" applyAlignment="1">
      <alignment horizontal="center"/>
    </xf>
    <xf numFmtId="176" fontId="2" fillId="0" borderId="7" xfId="1" applyFont="1" applyBorder="1"/>
    <xf numFmtId="9" fontId="2" fillId="0" borderId="7" xfId="3" applyFont="1" applyBorder="1"/>
    <xf numFmtId="178" fontId="2" fillId="0" borderId="7" xfId="3" applyNumberFormat="1" applyFont="1" applyFill="1" applyBorder="1"/>
    <xf numFmtId="177" fontId="2" fillId="0" borderId="7" xfId="2" applyFont="1" applyFill="1" applyBorder="1"/>
    <xf numFmtId="0" fontId="2" fillId="0" borderId="3" xfId="0" applyFont="1" applyBorder="1"/>
    <xf numFmtId="176" fontId="2" fillId="0" borderId="3" xfId="1" applyFont="1" applyBorder="1"/>
    <xf numFmtId="9" fontId="2" fillId="0" borderId="3" xfId="3" applyFont="1" applyBorder="1"/>
    <xf numFmtId="176" fontId="2" fillId="0" borderId="6" xfId="1" applyFont="1" applyFill="1" applyBorder="1"/>
    <xf numFmtId="178" fontId="2" fillId="0" borderId="6" xfId="2" applyNumberFormat="1" applyFont="1" applyBorder="1"/>
    <xf numFmtId="176" fontId="2" fillId="0" borderId="7" xfId="1" applyFont="1" applyFill="1" applyBorder="1"/>
    <xf numFmtId="178" fontId="2" fillId="0" borderId="7" xfId="3" applyNumberFormat="1" applyFont="1" applyBorder="1"/>
    <xf numFmtId="176" fontId="2" fillId="0" borderId="3" xfId="1" applyFont="1" applyFill="1" applyBorder="1"/>
    <xf numFmtId="0" fontId="2" fillId="3" borderId="3" xfId="0" applyFont="1" applyFill="1" applyBorder="1"/>
    <xf numFmtId="0" fontId="2" fillId="3" borderId="3" xfId="0" applyFont="1" applyFill="1" applyBorder="1" applyAlignment="1">
      <alignment horizontal="center"/>
    </xf>
    <xf numFmtId="176" fontId="2" fillId="3" borderId="3" xfId="1" applyFont="1" applyFill="1" applyBorder="1"/>
    <xf numFmtId="9" fontId="2" fillId="3" borderId="7" xfId="3" applyFont="1" applyFill="1" applyBorder="1"/>
    <xf numFmtId="178" fontId="2" fillId="3" borderId="7" xfId="3" applyNumberFormat="1" applyFont="1" applyFill="1" applyBorder="1"/>
    <xf numFmtId="177" fontId="2" fillId="3" borderId="7" xfId="2" applyFont="1" applyFill="1" applyBorder="1"/>
    <xf numFmtId="0" fontId="6" fillId="4" borderId="0" xfId="0" applyFont="1" applyFill="1"/>
    <xf numFmtId="0" fontId="2" fillId="4" borderId="0" xfId="0" applyFont="1" applyFill="1"/>
  </cellXfs>
  <cellStyles count="4">
    <cellStyle name="パーセント" xfId="3" builtinId="5"/>
    <cellStyle name="桁区切り" xfId="1" builtinId="6"/>
    <cellStyle name="通貨" xfId="2" builtinId="7"/>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r>
              <a:rPr lang="en-US"/>
              <a:t>ALL_Daily_AFCV_Condition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ja-JP"/>
        </a:p>
      </c:txPr>
    </c:title>
    <c:autoTitleDeleted val="0"/>
    <c:plotArea>
      <c:layout/>
      <c:barChart>
        <c:barDir val="col"/>
        <c:grouping val="clustered"/>
        <c:varyColors val="0"/>
        <c:ser>
          <c:idx val="0"/>
          <c:order val="0"/>
          <c:tx>
            <c:strRef>
              <c:f>領域別コンディション!$D$3</c:f>
              <c:strCache>
                <c:ptCount val="1"/>
                <c:pt idx="0">
                  <c:v>Daily_AFCV</c:v>
                </c:pt>
              </c:strCache>
            </c:strRef>
          </c:tx>
          <c:spPr>
            <a:solidFill>
              <a:srgbClr val="FFC000"/>
            </a:solidFill>
            <a:ln>
              <a:noFill/>
            </a:ln>
            <a:effectLst/>
          </c:spPr>
          <c:invertIfNegative val="0"/>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領域別コンディション!$D$5:$D$30</c:f>
              <c:numCache>
                <c:formatCode>_-* #,##0_-;\-* #,##0_-;_-* "-"_-;_-@_-</c:formatCode>
                <c:ptCount val="26"/>
                <c:pt idx="0">
                  <c:v>895.42857142857144</c:v>
                </c:pt>
                <c:pt idx="1">
                  <c:v>839.85714285714289</c:v>
                </c:pt>
                <c:pt idx="2">
                  <c:v>926.28571428571433</c:v>
                </c:pt>
                <c:pt idx="3">
                  <c:v>1024.7142857142858</c:v>
                </c:pt>
                <c:pt idx="4">
                  <c:v>1175</c:v>
                </c:pt>
                <c:pt idx="5">
                  <c:v>1038.5714285714287</c:v>
                </c:pt>
                <c:pt idx="6">
                  <c:v>1031.1428571428571</c:v>
                </c:pt>
                <c:pt idx="7">
                  <c:v>973.28571428571433</c:v>
                </c:pt>
                <c:pt idx="8">
                  <c:v>990.85714285714289</c:v>
                </c:pt>
                <c:pt idx="9">
                  <c:v>1036.8571428571429</c:v>
                </c:pt>
                <c:pt idx="10">
                  <c:v>1017.1428571428571</c:v>
                </c:pt>
                <c:pt idx="11">
                  <c:v>982.57142857142856</c:v>
                </c:pt>
                <c:pt idx="12">
                  <c:v>1027.5714285714287</c:v>
                </c:pt>
                <c:pt idx="13">
                  <c:v>1027.8571428571429</c:v>
                </c:pt>
                <c:pt idx="14">
                  <c:v>1142</c:v>
                </c:pt>
                <c:pt idx="15">
                  <c:v>1148.1428571428571</c:v>
                </c:pt>
                <c:pt idx="16">
                  <c:v>1218.8571428571429</c:v>
                </c:pt>
                <c:pt idx="17">
                  <c:v>1205.8571428571429</c:v>
                </c:pt>
                <c:pt idx="18">
                  <c:v>1229</c:v>
                </c:pt>
                <c:pt idx="19">
                  <c:v>1299</c:v>
                </c:pt>
                <c:pt idx="20">
                  <c:v>1337</c:v>
                </c:pt>
                <c:pt idx="21">
                  <c:v>1376.2857142857144</c:v>
                </c:pt>
                <c:pt idx="22">
                  <c:v>1225.8571428571429</c:v>
                </c:pt>
                <c:pt idx="23">
                  <c:v>1179.4285714285716</c:v>
                </c:pt>
                <c:pt idx="24">
                  <c:v>1105.8571428428572</c:v>
                </c:pt>
                <c:pt idx="25">
                  <c:v>1094.7142857142858</c:v>
                </c:pt>
              </c:numCache>
            </c:numRef>
          </c:val>
          <c:extLst>
            <c:ext xmlns:c16="http://schemas.microsoft.com/office/drawing/2014/chart" uri="{C3380CC4-5D6E-409C-BE32-E72D297353CC}">
              <c16:uniqueId val="{00000000-16BA-4D0E-911B-29444197057F}"/>
            </c:ext>
          </c:extLst>
        </c:ser>
        <c:dLbls>
          <c:showLegendKey val="0"/>
          <c:showVal val="0"/>
          <c:showCatName val="0"/>
          <c:showSerName val="0"/>
          <c:showPercent val="0"/>
          <c:showBubbleSize val="0"/>
        </c:dLbls>
        <c:gapWidth val="219"/>
        <c:overlap val="-27"/>
        <c:axId val="1911705359"/>
        <c:axId val="1911704879"/>
      </c:barChart>
      <c:lineChart>
        <c:grouping val="standard"/>
        <c:varyColors val="0"/>
        <c:ser>
          <c:idx val="1"/>
          <c:order val="1"/>
          <c:tx>
            <c:strRef>
              <c:f>領域別コンディション!$E$3</c:f>
              <c:strCache>
                <c:ptCount val="1"/>
                <c:pt idx="0">
                  <c:v>変化率</c:v>
                </c:pt>
              </c:strCache>
            </c:strRef>
          </c:tx>
          <c:spPr>
            <a:ln w="28575" cap="rnd">
              <a:solidFill>
                <a:srgbClr val="C00000"/>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Rakuten Sans JP" panose="020B0400000000000000" pitchFamily="34" charset="-128"/>
                    <a:ea typeface="Rakuten Sans JP" panose="020B0400000000000000" pitchFamily="34"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領域別コンディション!$E$5:$E$30</c:f>
              <c:numCache>
                <c:formatCode>0%</c:formatCode>
                <c:ptCount val="26"/>
                <c:pt idx="0">
                  <c:v>0.70450713723727099</c:v>
                </c:pt>
                <c:pt idx="1">
                  <c:v>0.66078453411262228</c:v>
                </c:pt>
                <c:pt idx="2">
                  <c:v>0.72878498370237166</c:v>
                </c:pt>
                <c:pt idx="3">
                  <c:v>0.80622681802854901</c:v>
                </c:pt>
                <c:pt idx="4">
                  <c:v>0.9244689221085759</c:v>
                </c:pt>
                <c:pt idx="5">
                  <c:v>0.81712936945037662</c:v>
                </c:pt>
                <c:pt idx="6">
                  <c:v>0.81128470270877817</c:v>
                </c:pt>
                <c:pt idx="7">
                  <c:v>0.7657637405867147</c:v>
                </c:pt>
                <c:pt idx="8">
                  <c:v>0.77958862537934137</c:v>
                </c:pt>
                <c:pt idx="9">
                  <c:v>0.81578060020231546</c:v>
                </c:pt>
                <c:pt idx="10">
                  <c:v>0.80026975384961219</c:v>
                </c:pt>
                <c:pt idx="11">
                  <c:v>0.77306957401371246</c:v>
                </c:pt>
                <c:pt idx="12">
                  <c:v>0.8084747667753176</c:v>
                </c:pt>
                <c:pt idx="13">
                  <c:v>0.80869956164999446</c:v>
                </c:pt>
                <c:pt idx="14">
                  <c:v>0.89850511408339895</c:v>
                </c:pt>
                <c:pt idx="15">
                  <c:v>0.90333820388895125</c:v>
                </c:pt>
                <c:pt idx="16">
                  <c:v>0.9589749353714736</c:v>
                </c:pt>
                <c:pt idx="17">
                  <c:v>0.94874676857367657</c:v>
                </c:pt>
                <c:pt idx="18">
                  <c:v>0.96695515342250193</c:v>
                </c:pt>
                <c:pt idx="19">
                  <c:v>1.022029897718332</c:v>
                </c:pt>
                <c:pt idx="20">
                  <c:v>1.0519276160503541</c:v>
                </c:pt>
                <c:pt idx="21">
                  <c:v>1.082836911318422</c:v>
                </c:pt>
                <c:pt idx="22">
                  <c:v>0.96448240980105659</c:v>
                </c:pt>
                <c:pt idx="23">
                  <c:v>0.92795324266606727</c:v>
                </c:pt>
                <c:pt idx="24">
                  <c:v>0.87006856242553676</c:v>
                </c:pt>
                <c:pt idx="25">
                  <c:v>0.86130156232437904</c:v>
                </c:pt>
              </c:numCache>
            </c:numRef>
          </c:val>
          <c:smooth val="0"/>
          <c:extLst>
            <c:ext xmlns:c16="http://schemas.microsoft.com/office/drawing/2014/chart" uri="{C3380CC4-5D6E-409C-BE32-E72D297353CC}">
              <c16:uniqueId val="{00000001-16BA-4D0E-911B-29444197057F}"/>
            </c:ext>
          </c:extLst>
        </c:ser>
        <c:dLbls>
          <c:showLegendKey val="0"/>
          <c:showVal val="0"/>
          <c:showCatName val="0"/>
          <c:showSerName val="0"/>
          <c:showPercent val="0"/>
          <c:showBubbleSize val="0"/>
        </c:dLbls>
        <c:marker val="1"/>
        <c:smooth val="0"/>
        <c:axId val="2092357999"/>
        <c:axId val="2092356079"/>
      </c:lineChart>
      <c:catAx>
        <c:axId val="19117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4879"/>
        <c:crosses val="autoZero"/>
        <c:auto val="1"/>
        <c:lblAlgn val="ctr"/>
        <c:lblOffset val="100"/>
        <c:noMultiLvlLbl val="0"/>
      </c:catAx>
      <c:valAx>
        <c:axId val="191170487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5359"/>
        <c:crosses val="autoZero"/>
        <c:crossBetween val="between"/>
      </c:valAx>
      <c:valAx>
        <c:axId val="20923560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2092357999"/>
        <c:crosses val="max"/>
        <c:crossBetween val="between"/>
      </c:valAx>
      <c:catAx>
        <c:axId val="2092357999"/>
        <c:scaling>
          <c:orientation val="minMax"/>
        </c:scaling>
        <c:delete val="1"/>
        <c:axPos val="b"/>
        <c:numFmt formatCode="General" sourceLinked="1"/>
        <c:majorTickMark val="out"/>
        <c:minorTickMark val="none"/>
        <c:tickLblPos val="nextTo"/>
        <c:crossAx val="2092356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r>
              <a:rPr lang="en-US"/>
              <a:t>ALL_Daily_CPA_Condition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ja-JP" altLang="en-US"/>
        </a:p>
      </c:txPr>
    </c:title>
    <c:autoTitleDeleted val="0"/>
    <c:plotArea>
      <c:layout/>
      <c:barChart>
        <c:barDir val="col"/>
        <c:grouping val="clustered"/>
        <c:varyColors val="0"/>
        <c:ser>
          <c:idx val="0"/>
          <c:order val="0"/>
          <c:tx>
            <c:strRef>
              <c:f>領域別コンディション!$H$3</c:f>
              <c:strCache>
                <c:ptCount val="1"/>
                <c:pt idx="0">
                  <c:v>CPA</c:v>
                </c:pt>
              </c:strCache>
            </c:strRef>
          </c:tx>
          <c:spPr>
            <a:solidFill>
              <a:schemeClr val="tx2">
                <a:lumMod val="60000"/>
                <a:lumOff val="40000"/>
              </a:schemeClr>
            </a:solidFill>
            <a:ln>
              <a:noFill/>
            </a:ln>
            <a:effectLst/>
          </c:spPr>
          <c:invertIfNegative val="0"/>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領域別コンディション!$H$5:$H$30</c:f>
              <c:numCache>
                <c:formatCode>_-"¥"* #,##0_-;\-"¥"* #,##0_-;_-"¥"* "-"_-;_-@_-</c:formatCode>
                <c:ptCount val="26"/>
                <c:pt idx="0">
                  <c:v>4131.3208359923419</c:v>
                </c:pt>
                <c:pt idx="1">
                  <c:v>3787.1389692124508</c:v>
                </c:pt>
                <c:pt idx="2">
                  <c:v>3485.3448488587287</c:v>
                </c:pt>
                <c:pt idx="3">
                  <c:v>3801.9572006134113</c:v>
                </c:pt>
                <c:pt idx="4">
                  <c:v>3708.9602431610938</c:v>
                </c:pt>
                <c:pt idx="5">
                  <c:v>3292.0371389270972</c:v>
                </c:pt>
                <c:pt idx="6">
                  <c:v>3623.8879190911612</c:v>
                </c:pt>
                <c:pt idx="7">
                  <c:v>4194.3967415235575</c:v>
                </c:pt>
                <c:pt idx="8">
                  <c:v>3788.8571222606688</c:v>
                </c:pt>
                <c:pt idx="9">
                  <c:v>4216.1997795535963</c:v>
                </c:pt>
                <c:pt idx="10">
                  <c:v>3810.2272471910114</c:v>
                </c:pt>
                <c:pt idx="11">
                  <c:v>3265.1703983716197</c:v>
                </c:pt>
                <c:pt idx="12">
                  <c:v>3397.0075072987624</c:v>
                </c:pt>
                <c:pt idx="13">
                  <c:v>3368.282279360667</c:v>
                </c:pt>
                <c:pt idx="14">
                  <c:v>3590.9414560920691</c:v>
                </c:pt>
                <c:pt idx="15">
                  <c:v>3673.9784745551824</c:v>
                </c:pt>
                <c:pt idx="16">
                  <c:v>3569.3530239099855</c:v>
                </c:pt>
                <c:pt idx="17">
                  <c:v>3331.3857362871699</c:v>
                </c:pt>
                <c:pt idx="18">
                  <c:v>3339.1709868650469</c:v>
                </c:pt>
                <c:pt idx="19">
                  <c:v>3398.2040030792919</c:v>
                </c:pt>
                <c:pt idx="20">
                  <c:v>3218.7166363927768</c:v>
                </c:pt>
                <c:pt idx="21">
                  <c:v>3567.2522490851579</c:v>
                </c:pt>
                <c:pt idx="22">
                  <c:v>3241.5078115366691</c:v>
                </c:pt>
                <c:pt idx="23">
                  <c:v>3265.0046554451892</c:v>
                </c:pt>
                <c:pt idx="24">
                  <c:v>3317.992869138528</c:v>
                </c:pt>
                <c:pt idx="25">
                  <c:v>3351.7659923880396</c:v>
                </c:pt>
              </c:numCache>
            </c:numRef>
          </c:val>
          <c:extLst>
            <c:ext xmlns:c16="http://schemas.microsoft.com/office/drawing/2014/chart" uri="{C3380CC4-5D6E-409C-BE32-E72D297353CC}">
              <c16:uniqueId val="{00000000-D832-4D34-B70D-DB161B14F432}"/>
            </c:ext>
          </c:extLst>
        </c:ser>
        <c:dLbls>
          <c:showLegendKey val="0"/>
          <c:showVal val="0"/>
          <c:showCatName val="0"/>
          <c:showSerName val="0"/>
          <c:showPercent val="0"/>
          <c:showBubbleSize val="0"/>
        </c:dLbls>
        <c:gapWidth val="219"/>
        <c:overlap val="-27"/>
        <c:axId val="1911705359"/>
        <c:axId val="1911704879"/>
      </c:barChart>
      <c:lineChart>
        <c:grouping val="standard"/>
        <c:varyColors val="0"/>
        <c:ser>
          <c:idx val="1"/>
          <c:order val="1"/>
          <c:tx>
            <c:strRef>
              <c:f>領域別コンディション!$I$3</c:f>
              <c:strCache>
                <c:ptCount val="1"/>
                <c:pt idx="0">
                  <c:v>変化率</c:v>
                </c:pt>
              </c:strCache>
            </c:strRef>
          </c:tx>
          <c:spPr>
            <a:ln w="28575" cap="rnd">
              <a:solidFill>
                <a:schemeClr val="accent2"/>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Rakuten Sans JP" panose="020B0400000000000000" pitchFamily="34" charset="-128"/>
                    <a:ea typeface="Rakuten Sans JP" panose="020B0400000000000000" pitchFamily="34"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領域別コンディション!$I$5:$I$30</c:f>
              <c:numCache>
                <c:formatCode>0%</c:formatCode>
                <c:ptCount val="26"/>
                <c:pt idx="0">
                  <c:v>1.1449262342777085</c:v>
                </c:pt>
                <c:pt idx="1">
                  <c:v>1.0495420062589425</c:v>
                </c:pt>
                <c:pt idx="2">
                  <c:v>0.96590483077418154</c:v>
                </c:pt>
                <c:pt idx="3">
                  <c:v>1.053648630399278</c:v>
                </c:pt>
                <c:pt idx="4">
                  <c:v>1.0278760843971491</c:v>
                </c:pt>
                <c:pt idx="5">
                  <c:v>0.91233284322465769</c:v>
                </c:pt>
                <c:pt idx="6">
                  <c:v>1.0042997175388619</c:v>
                </c:pt>
                <c:pt idx="7">
                  <c:v>1.1624066629010072</c:v>
                </c:pt>
                <c:pt idx="8">
                  <c:v>1.050018163540718</c:v>
                </c:pt>
                <c:pt idx="9">
                  <c:v>1.1684490089734951</c:v>
                </c:pt>
                <c:pt idx="10">
                  <c:v>1.0559405350131492</c:v>
                </c:pt>
                <c:pt idx="11">
                  <c:v>0.90488717698070198</c:v>
                </c:pt>
                <c:pt idx="12">
                  <c:v>0.94142361911489336</c:v>
                </c:pt>
                <c:pt idx="13">
                  <c:v>0.93346290428359591</c:v>
                </c:pt>
                <c:pt idx="14">
                  <c:v>0.99516915825484564</c:v>
                </c:pt>
                <c:pt idx="15">
                  <c:v>1.0181814743224706</c:v>
                </c:pt>
                <c:pt idx="16">
                  <c:v>0.9891862865914165</c:v>
                </c:pt>
                <c:pt idx="17">
                  <c:v>0.92323764660063579</c:v>
                </c:pt>
                <c:pt idx="18">
                  <c:v>0.92539519813945148</c:v>
                </c:pt>
                <c:pt idx="19">
                  <c:v>0.9417552078398348</c:v>
                </c:pt>
                <c:pt idx="20">
                  <c:v>0.89201329647568073</c:v>
                </c:pt>
                <c:pt idx="21">
                  <c:v>0.98860409210574485</c:v>
                </c:pt>
                <c:pt idx="22">
                  <c:v>0.89832948816549718</c:v>
                </c:pt>
                <c:pt idx="23">
                  <c:v>0.90484124411028366</c:v>
                </c:pt>
                <c:pt idx="24">
                  <c:v>0.91952603824112833</c:v>
                </c:pt>
                <c:pt idx="25">
                  <c:v>0.92888569253981768</c:v>
                </c:pt>
              </c:numCache>
            </c:numRef>
          </c:val>
          <c:smooth val="0"/>
          <c:extLst>
            <c:ext xmlns:c16="http://schemas.microsoft.com/office/drawing/2014/chart" uri="{C3380CC4-5D6E-409C-BE32-E72D297353CC}">
              <c16:uniqueId val="{00000001-D832-4D34-B70D-DB161B14F432}"/>
            </c:ext>
          </c:extLst>
        </c:ser>
        <c:dLbls>
          <c:showLegendKey val="0"/>
          <c:showVal val="0"/>
          <c:showCatName val="0"/>
          <c:showSerName val="0"/>
          <c:showPercent val="0"/>
          <c:showBubbleSize val="0"/>
        </c:dLbls>
        <c:marker val="1"/>
        <c:smooth val="0"/>
        <c:axId val="2092357999"/>
        <c:axId val="2092356079"/>
      </c:lineChart>
      <c:catAx>
        <c:axId val="19117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4879"/>
        <c:crosses val="autoZero"/>
        <c:auto val="1"/>
        <c:lblAlgn val="ctr"/>
        <c:lblOffset val="100"/>
        <c:noMultiLvlLbl val="0"/>
      </c:catAx>
      <c:valAx>
        <c:axId val="1911704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5359"/>
        <c:crosses val="autoZero"/>
        <c:crossBetween val="between"/>
      </c:valAx>
      <c:valAx>
        <c:axId val="20923560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2092357999"/>
        <c:crosses val="max"/>
        <c:crossBetween val="between"/>
      </c:valAx>
      <c:catAx>
        <c:axId val="2092357999"/>
        <c:scaling>
          <c:orientation val="minMax"/>
        </c:scaling>
        <c:delete val="1"/>
        <c:axPos val="b"/>
        <c:numFmt formatCode="General" sourceLinked="1"/>
        <c:majorTickMark val="out"/>
        <c:minorTickMark val="none"/>
        <c:tickLblPos val="nextTo"/>
        <c:crossAx val="2092356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r>
              <a:rPr lang="en-US"/>
              <a:t>Affiliate_Daily_AFCV_Condition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ja-JP" altLang="en-US"/>
        </a:p>
      </c:txPr>
    </c:title>
    <c:autoTitleDeleted val="0"/>
    <c:plotArea>
      <c:layout/>
      <c:barChart>
        <c:barDir val="col"/>
        <c:grouping val="clustered"/>
        <c:varyColors val="0"/>
        <c:ser>
          <c:idx val="0"/>
          <c:order val="0"/>
          <c:tx>
            <c:strRef>
              <c:f>領域別コンディション!$D$3</c:f>
              <c:strCache>
                <c:ptCount val="1"/>
                <c:pt idx="0">
                  <c:v>Daily_AFCV</c:v>
                </c:pt>
              </c:strCache>
            </c:strRef>
          </c:tx>
          <c:spPr>
            <a:solidFill>
              <a:srgbClr val="FFC000"/>
            </a:solidFill>
            <a:ln>
              <a:noFill/>
            </a:ln>
            <a:effectLst/>
          </c:spPr>
          <c:invertIfNegative val="0"/>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領域別コンディション!$D$34:$D$59</c:f>
              <c:numCache>
                <c:formatCode>_-* #,##0_-;\-* #,##0_-;_-* "-"_-;_-@_-</c:formatCode>
                <c:ptCount val="26"/>
                <c:pt idx="0">
                  <c:v>355.57142857142856</c:v>
                </c:pt>
                <c:pt idx="1">
                  <c:v>318.42857142857144</c:v>
                </c:pt>
                <c:pt idx="2">
                  <c:v>312.57142857142856</c:v>
                </c:pt>
                <c:pt idx="3">
                  <c:v>342.28571428571428</c:v>
                </c:pt>
                <c:pt idx="4">
                  <c:v>457.28571428571428</c:v>
                </c:pt>
                <c:pt idx="5">
                  <c:v>317.57142857142856</c:v>
                </c:pt>
                <c:pt idx="6">
                  <c:v>343.42857142857144</c:v>
                </c:pt>
                <c:pt idx="7">
                  <c:v>362.71428571428572</c:v>
                </c:pt>
                <c:pt idx="8">
                  <c:v>351.57142857142856</c:v>
                </c:pt>
                <c:pt idx="9">
                  <c:v>366.28571428571428</c:v>
                </c:pt>
                <c:pt idx="10">
                  <c:v>351.57142857142856</c:v>
                </c:pt>
                <c:pt idx="11">
                  <c:v>324.28571428571428</c:v>
                </c:pt>
                <c:pt idx="12">
                  <c:v>331</c:v>
                </c:pt>
                <c:pt idx="13">
                  <c:v>301.28571428571428</c:v>
                </c:pt>
                <c:pt idx="14">
                  <c:v>388.71428571428572</c:v>
                </c:pt>
                <c:pt idx="15">
                  <c:v>370.28571428571428</c:v>
                </c:pt>
                <c:pt idx="16">
                  <c:v>368.14285714285717</c:v>
                </c:pt>
                <c:pt idx="17">
                  <c:v>333.71428571428572</c:v>
                </c:pt>
                <c:pt idx="18">
                  <c:v>368</c:v>
                </c:pt>
                <c:pt idx="19">
                  <c:v>394</c:v>
                </c:pt>
                <c:pt idx="20">
                  <c:v>412</c:v>
                </c:pt>
                <c:pt idx="21">
                  <c:v>377.14285714285717</c:v>
                </c:pt>
                <c:pt idx="22">
                  <c:v>358</c:v>
                </c:pt>
                <c:pt idx="23">
                  <c:v>344.42857142857144</c:v>
                </c:pt>
                <c:pt idx="24">
                  <c:v>310.14285714285717</c:v>
                </c:pt>
                <c:pt idx="25">
                  <c:v>325</c:v>
                </c:pt>
              </c:numCache>
            </c:numRef>
          </c:val>
          <c:extLst>
            <c:ext xmlns:c16="http://schemas.microsoft.com/office/drawing/2014/chart" uri="{C3380CC4-5D6E-409C-BE32-E72D297353CC}">
              <c16:uniqueId val="{00000000-3140-4355-83CA-D77236BDE5D2}"/>
            </c:ext>
          </c:extLst>
        </c:ser>
        <c:dLbls>
          <c:showLegendKey val="0"/>
          <c:showVal val="0"/>
          <c:showCatName val="0"/>
          <c:showSerName val="0"/>
          <c:showPercent val="0"/>
          <c:showBubbleSize val="0"/>
        </c:dLbls>
        <c:gapWidth val="219"/>
        <c:overlap val="-27"/>
        <c:axId val="1911705359"/>
        <c:axId val="1911704879"/>
      </c:barChart>
      <c:lineChart>
        <c:grouping val="standard"/>
        <c:varyColors val="0"/>
        <c:ser>
          <c:idx val="1"/>
          <c:order val="1"/>
          <c:tx>
            <c:strRef>
              <c:f>領域別コンディション!$E$34:$E$59</c:f>
              <c:strCache>
                <c:ptCount val="26"/>
                <c:pt idx="0">
                  <c:v>78%</c:v>
                </c:pt>
                <c:pt idx="1">
                  <c:v>70%</c:v>
                </c:pt>
                <c:pt idx="2">
                  <c:v>68%</c:v>
                </c:pt>
                <c:pt idx="3">
                  <c:v>75%</c:v>
                </c:pt>
                <c:pt idx="4">
                  <c:v>100%</c:v>
                </c:pt>
                <c:pt idx="5">
                  <c:v>69%</c:v>
                </c:pt>
                <c:pt idx="6">
                  <c:v>75%</c:v>
                </c:pt>
                <c:pt idx="7">
                  <c:v>79%</c:v>
                </c:pt>
                <c:pt idx="8">
                  <c:v>77%</c:v>
                </c:pt>
                <c:pt idx="9">
                  <c:v>80%</c:v>
                </c:pt>
                <c:pt idx="10">
                  <c:v>77%</c:v>
                </c:pt>
                <c:pt idx="11">
                  <c:v>71%</c:v>
                </c:pt>
                <c:pt idx="12">
                  <c:v>72%</c:v>
                </c:pt>
                <c:pt idx="13">
                  <c:v>66%</c:v>
                </c:pt>
                <c:pt idx="14">
                  <c:v>85%</c:v>
                </c:pt>
                <c:pt idx="15">
                  <c:v>81%</c:v>
                </c:pt>
                <c:pt idx="16">
                  <c:v>81%</c:v>
                </c:pt>
                <c:pt idx="17">
                  <c:v>73%</c:v>
                </c:pt>
                <c:pt idx="18">
                  <c:v>81%</c:v>
                </c:pt>
                <c:pt idx="19">
                  <c:v>86%</c:v>
                </c:pt>
                <c:pt idx="20">
                  <c:v>90%</c:v>
                </c:pt>
                <c:pt idx="21">
                  <c:v>83%</c:v>
                </c:pt>
                <c:pt idx="22">
                  <c:v>78%</c:v>
                </c:pt>
                <c:pt idx="23">
                  <c:v>75%</c:v>
                </c:pt>
                <c:pt idx="24">
                  <c:v>68%</c:v>
                </c:pt>
                <c:pt idx="25">
                  <c:v>71%</c:v>
                </c:pt>
              </c:strCache>
            </c:strRef>
          </c:tx>
          <c:spPr>
            <a:ln w="28575" cap="rnd">
              <a:solidFill>
                <a:srgbClr val="C00000"/>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Rakuten Sans JP" panose="020B0400000000000000" pitchFamily="34" charset="-128"/>
                    <a:ea typeface="Rakuten Sans JP" panose="020B0400000000000000" pitchFamily="34"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領域別コンディション!$E$5:$E$30</c:f>
              <c:numCache>
                <c:formatCode>0%</c:formatCode>
                <c:ptCount val="26"/>
                <c:pt idx="0">
                  <c:v>0.70450713723727099</c:v>
                </c:pt>
                <c:pt idx="1">
                  <c:v>0.66078453411262228</c:v>
                </c:pt>
                <c:pt idx="2">
                  <c:v>0.72878498370237166</c:v>
                </c:pt>
                <c:pt idx="3">
                  <c:v>0.80622681802854901</c:v>
                </c:pt>
                <c:pt idx="4">
                  <c:v>0.9244689221085759</c:v>
                </c:pt>
                <c:pt idx="5">
                  <c:v>0.81712936945037662</c:v>
                </c:pt>
                <c:pt idx="6">
                  <c:v>0.81128470270877817</c:v>
                </c:pt>
                <c:pt idx="7">
                  <c:v>0.7657637405867147</c:v>
                </c:pt>
                <c:pt idx="8">
                  <c:v>0.77958862537934137</c:v>
                </c:pt>
                <c:pt idx="9">
                  <c:v>0.81578060020231546</c:v>
                </c:pt>
                <c:pt idx="10">
                  <c:v>0.80026975384961219</c:v>
                </c:pt>
                <c:pt idx="11">
                  <c:v>0.77306957401371246</c:v>
                </c:pt>
                <c:pt idx="12">
                  <c:v>0.8084747667753176</c:v>
                </c:pt>
                <c:pt idx="13">
                  <c:v>0.80869956164999446</c:v>
                </c:pt>
                <c:pt idx="14">
                  <c:v>0.89850511408339895</c:v>
                </c:pt>
                <c:pt idx="15">
                  <c:v>0.90333820388895125</c:v>
                </c:pt>
                <c:pt idx="16">
                  <c:v>0.9589749353714736</c:v>
                </c:pt>
                <c:pt idx="17">
                  <c:v>0.94874676857367657</c:v>
                </c:pt>
                <c:pt idx="18">
                  <c:v>0.96695515342250193</c:v>
                </c:pt>
                <c:pt idx="19">
                  <c:v>1.022029897718332</c:v>
                </c:pt>
                <c:pt idx="20">
                  <c:v>1.0519276160503541</c:v>
                </c:pt>
                <c:pt idx="21">
                  <c:v>1.082836911318422</c:v>
                </c:pt>
                <c:pt idx="22">
                  <c:v>0.96448240980105659</c:v>
                </c:pt>
                <c:pt idx="23">
                  <c:v>0.92795324266606727</c:v>
                </c:pt>
                <c:pt idx="24">
                  <c:v>0.87006856242553676</c:v>
                </c:pt>
                <c:pt idx="25">
                  <c:v>0.86130156232437904</c:v>
                </c:pt>
              </c:numCache>
            </c:numRef>
          </c:val>
          <c:smooth val="0"/>
          <c:extLst>
            <c:ext xmlns:c16="http://schemas.microsoft.com/office/drawing/2014/chart" uri="{C3380CC4-5D6E-409C-BE32-E72D297353CC}">
              <c16:uniqueId val="{00000001-3140-4355-83CA-D77236BDE5D2}"/>
            </c:ext>
          </c:extLst>
        </c:ser>
        <c:dLbls>
          <c:showLegendKey val="0"/>
          <c:showVal val="0"/>
          <c:showCatName val="0"/>
          <c:showSerName val="0"/>
          <c:showPercent val="0"/>
          <c:showBubbleSize val="0"/>
        </c:dLbls>
        <c:marker val="1"/>
        <c:smooth val="0"/>
        <c:axId val="2092357999"/>
        <c:axId val="2092356079"/>
      </c:lineChart>
      <c:catAx>
        <c:axId val="19117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4879"/>
        <c:crosses val="autoZero"/>
        <c:auto val="1"/>
        <c:lblAlgn val="ctr"/>
        <c:lblOffset val="100"/>
        <c:noMultiLvlLbl val="0"/>
      </c:catAx>
      <c:valAx>
        <c:axId val="191170487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5359"/>
        <c:crosses val="autoZero"/>
        <c:crossBetween val="between"/>
      </c:valAx>
      <c:valAx>
        <c:axId val="20923560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2092357999"/>
        <c:crosses val="max"/>
        <c:crossBetween val="between"/>
      </c:valAx>
      <c:catAx>
        <c:axId val="2092357999"/>
        <c:scaling>
          <c:orientation val="minMax"/>
        </c:scaling>
        <c:delete val="1"/>
        <c:axPos val="b"/>
        <c:numFmt formatCode="General" sourceLinked="1"/>
        <c:majorTickMark val="out"/>
        <c:minorTickMark val="none"/>
        <c:tickLblPos val="nextTo"/>
        <c:crossAx val="2092356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r>
              <a:rPr lang="en-US"/>
              <a:t>AFF_Daily_CPA_Condition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ja-JP" altLang="en-US"/>
        </a:p>
      </c:txPr>
    </c:title>
    <c:autoTitleDeleted val="0"/>
    <c:plotArea>
      <c:layout/>
      <c:barChart>
        <c:barDir val="col"/>
        <c:grouping val="clustered"/>
        <c:varyColors val="0"/>
        <c:ser>
          <c:idx val="0"/>
          <c:order val="0"/>
          <c:tx>
            <c:strRef>
              <c:f>領域別コンディション!$H$32</c:f>
              <c:strCache>
                <c:ptCount val="1"/>
                <c:pt idx="0">
                  <c:v>CPA</c:v>
                </c:pt>
              </c:strCache>
            </c:strRef>
          </c:tx>
          <c:spPr>
            <a:solidFill>
              <a:schemeClr val="tx2">
                <a:lumMod val="60000"/>
                <a:lumOff val="40000"/>
              </a:schemeClr>
            </a:solidFill>
            <a:ln>
              <a:noFill/>
            </a:ln>
            <a:effectLst/>
          </c:spPr>
          <c:invertIfNegative val="0"/>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領域別コンディション!$H$34:$H$59</c:f>
              <c:numCache>
                <c:formatCode>_-"¥"* #,##0_-;\-"¥"* #,##0_-;_-"¥"* "-"_-;_-@_-</c:formatCode>
                <c:ptCount val="26"/>
                <c:pt idx="0">
                  <c:v>6240.9353153877064</c:v>
                </c:pt>
                <c:pt idx="1">
                  <c:v>6341.872588604755</c:v>
                </c:pt>
                <c:pt idx="2">
                  <c:v>6446.9606946983549</c:v>
                </c:pt>
                <c:pt idx="3">
                  <c:v>6538.3722871452428</c:v>
                </c:pt>
                <c:pt idx="4">
                  <c:v>6352.9265854420491</c:v>
                </c:pt>
                <c:pt idx="5">
                  <c:v>6180.8209626630687</c:v>
                </c:pt>
                <c:pt idx="6">
                  <c:v>5855.3585690515802</c:v>
                </c:pt>
                <c:pt idx="7">
                  <c:v>6356.5773926742813</c:v>
                </c:pt>
                <c:pt idx="8">
                  <c:v>6600.5156440471346</c:v>
                </c:pt>
                <c:pt idx="9">
                  <c:v>6178.0273010920437</c:v>
                </c:pt>
                <c:pt idx="10">
                  <c:v>5978.5030475416506</c:v>
                </c:pt>
                <c:pt idx="11">
                  <c:v>5664.500881057269</c:v>
                </c:pt>
                <c:pt idx="12">
                  <c:v>5666.015537332758</c:v>
                </c:pt>
                <c:pt idx="13">
                  <c:v>6311.99146514936</c:v>
                </c:pt>
                <c:pt idx="14">
                  <c:v>6311.2947445791988</c:v>
                </c:pt>
                <c:pt idx="15">
                  <c:v>6625.0000000000009</c:v>
                </c:pt>
                <c:pt idx="16">
                  <c:v>6766.6899495537436</c:v>
                </c:pt>
                <c:pt idx="17">
                  <c:v>6336.6134417808216</c:v>
                </c:pt>
                <c:pt idx="18">
                  <c:v>6084.9704968944097</c:v>
                </c:pt>
                <c:pt idx="19">
                  <c:v>6484.1918056562727</c:v>
                </c:pt>
                <c:pt idx="20">
                  <c:v>6028.4251040221907</c:v>
                </c:pt>
                <c:pt idx="21">
                  <c:v>6545.8256113644729</c:v>
                </c:pt>
                <c:pt idx="22">
                  <c:v>6229.1861655212151</c:v>
                </c:pt>
                <c:pt idx="23">
                  <c:v>6296.0320956963533</c:v>
                </c:pt>
                <c:pt idx="24">
                  <c:v>6166.6041405542273</c:v>
                </c:pt>
                <c:pt idx="25">
                  <c:v>6359.1298415851952</c:v>
                </c:pt>
              </c:numCache>
            </c:numRef>
          </c:val>
          <c:extLst>
            <c:ext xmlns:c16="http://schemas.microsoft.com/office/drawing/2014/chart" uri="{C3380CC4-5D6E-409C-BE32-E72D297353CC}">
              <c16:uniqueId val="{00000000-9897-4413-AED5-72E2DF474131}"/>
            </c:ext>
          </c:extLst>
        </c:ser>
        <c:dLbls>
          <c:showLegendKey val="0"/>
          <c:showVal val="0"/>
          <c:showCatName val="0"/>
          <c:showSerName val="0"/>
          <c:showPercent val="0"/>
          <c:showBubbleSize val="0"/>
        </c:dLbls>
        <c:gapWidth val="219"/>
        <c:overlap val="-27"/>
        <c:axId val="1911705359"/>
        <c:axId val="1911704879"/>
      </c:barChart>
      <c:lineChart>
        <c:grouping val="standard"/>
        <c:varyColors val="0"/>
        <c:ser>
          <c:idx val="1"/>
          <c:order val="1"/>
          <c:tx>
            <c:strRef>
              <c:f>領域別コンディション!$I$3</c:f>
              <c:strCache>
                <c:ptCount val="1"/>
                <c:pt idx="0">
                  <c:v>変化率</c:v>
                </c:pt>
              </c:strCache>
            </c:strRef>
          </c:tx>
          <c:spPr>
            <a:ln w="28575" cap="rnd">
              <a:solidFill>
                <a:schemeClr val="accent2"/>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Rakuten Sans JP" panose="020B0400000000000000" pitchFamily="34" charset="-128"/>
                    <a:ea typeface="Rakuten Sans JP" panose="020B0400000000000000" pitchFamily="34"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領域別コンディション!$I$34:$I$59</c:f>
              <c:numCache>
                <c:formatCode>0%</c:formatCode>
                <c:ptCount val="26"/>
                <c:pt idx="0">
                  <c:v>1.0056292805974389</c:v>
                </c:pt>
                <c:pt idx="1">
                  <c:v>1.0218937461496544</c:v>
                </c:pt>
                <c:pt idx="2">
                  <c:v>1.0388270536091451</c:v>
                </c:pt>
                <c:pt idx="3">
                  <c:v>1.0535566044384859</c:v>
                </c:pt>
                <c:pt idx="4">
                  <c:v>1.0236749251437398</c:v>
                </c:pt>
                <c:pt idx="5">
                  <c:v>0.99594279127667884</c:v>
                </c:pt>
                <c:pt idx="6">
                  <c:v>0.94349960829061874</c:v>
                </c:pt>
                <c:pt idx="7">
                  <c:v>1.0242631957257946</c:v>
                </c:pt>
                <c:pt idx="8">
                  <c:v>1.0635700361016975</c:v>
                </c:pt>
                <c:pt idx="9">
                  <c:v>0.99549263633452201</c:v>
                </c:pt>
                <c:pt idx="10">
                  <c:v>0.96334241823101041</c:v>
                </c:pt>
                <c:pt idx="11">
                  <c:v>0.91274587190739109</c:v>
                </c:pt>
                <c:pt idx="12">
                  <c:v>0.9129899351164612</c:v>
                </c:pt>
                <c:pt idx="13">
                  <c:v>1.0170788696663486</c:v>
                </c:pt>
                <c:pt idx="14">
                  <c:v>1.0169666040250078</c:v>
                </c:pt>
                <c:pt idx="15">
                  <c:v>1.0675153077666775</c:v>
                </c:pt>
                <c:pt idx="16">
                  <c:v>1.0903464308014412</c:v>
                </c:pt>
                <c:pt idx="17">
                  <c:v>1.0210463167548858</c:v>
                </c:pt>
                <c:pt idx="18">
                  <c:v>0.98049798531975663</c:v>
                </c:pt>
                <c:pt idx="19">
                  <c:v>1.0448262658163507</c:v>
                </c:pt>
                <c:pt idx="20">
                  <c:v>0.97138657815375296</c:v>
                </c:pt>
                <c:pt idx="21">
                  <c:v>1.0547575912607916</c:v>
                </c:pt>
                <c:pt idx="22">
                  <c:v>1.0037360885467637</c:v>
                </c:pt>
                <c:pt idx="23">
                  <c:v>1.0145072664673467</c:v>
                </c:pt>
                <c:pt idx="24">
                  <c:v>0.99365197237419067</c:v>
                </c:pt>
                <c:pt idx="25">
                  <c:v>1.0246744830140502</c:v>
                </c:pt>
              </c:numCache>
            </c:numRef>
          </c:val>
          <c:smooth val="0"/>
          <c:extLst>
            <c:ext xmlns:c16="http://schemas.microsoft.com/office/drawing/2014/chart" uri="{C3380CC4-5D6E-409C-BE32-E72D297353CC}">
              <c16:uniqueId val="{00000001-9897-4413-AED5-72E2DF474131}"/>
            </c:ext>
          </c:extLst>
        </c:ser>
        <c:dLbls>
          <c:showLegendKey val="0"/>
          <c:showVal val="0"/>
          <c:showCatName val="0"/>
          <c:showSerName val="0"/>
          <c:showPercent val="0"/>
          <c:showBubbleSize val="0"/>
        </c:dLbls>
        <c:marker val="1"/>
        <c:smooth val="0"/>
        <c:axId val="2092357999"/>
        <c:axId val="2092356079"/>
      </c:lineChart>
      <c:catAx>
        <c:axId val="19117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4879"/>
        <c:crosses val="autoZero"/>
        <c:auto val="1"/>
        <c:lblAlgn val="ctr"/>
        <c:lblOffset val="100"/>
        <c:noMultiLvlLbl val="0"/>
      </c:catAx>
      <c:valAx>
        <c:axId val="1911704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5359"/>
        <c:crosses val="autoZero"/>
        <c:crossBetween val="between"/>
      </c:valAx>
      <c:valAx>
        <c:axId val="20923560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2092357999"/>
        <c:crosses val="max"/>
        <c:crossBetween val="between"/>
      </c:valAx>
      <c:catAx>
        <c:axId val="2092357999"/>
        <c:scaling>
          <c:orientation val="minMax"/>
        </c:scaling>
        <c:delete val="1"/>
        <c:axPos val="b"/>
        <c:numFmt formatCode="General" sourceLinked="1"/>
        <c:majorTickMark val="out"/>
        <c:minorTickMark val="none"/>
        <c:tickLblPos val="nextTo"/>
        <c:crossAx val="2092356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r>
              <a:rPr lang="en-US"/>
              <a:t>SEM_Daily_AFCV_Condition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ja-JP" altLang="en-US"/>
        </a:p>
      </c:txPr>
    </c:title>
    <c:autoTitleDeleted val="0"/>
    <c:plotArea>
      <c:layout/>
      <c:barChart>
        <c:barDir val="col"/>
        <c:grouping val="clustered"/>
        <c:varyColors val="0"/>
        <c:ser>
          <c:idx val="0"/>
          <c:order val="0"/>
          <c:tx>
            <c:strRef>
              <c:f>領域別コンディション!$D$3</c:f>
              <c:strCache>
                <c:ptCount val="1"/>
                <c:pt idx="0">
                  <c:v>Daily_AFCV</c:v>
                </c:pt>
              </c:strCache>
            </c:strRef>
          </c:tx>
          <c:spPr>
            <a:solidFill>
              <a:srgbClr val="FFC000"/>
            </a:solidFill>
            <a:ln>
              <a:noFill/>
            </a:ln>
            <a:effectLst/>
          </c:spPr>
          <c:invertIfNegative val="0"/>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領域別コンディション!$L$34:$L$59</c:f>
              <c:numCache>
                <c:formatCode>_-* #,##0_-;\-* #,##0_-;_-* "-"_-;_-@_-</c:formatCode>
                <c:ptCount val="26"/>
                <c:pt idx="0">
                  <c:v>539.14285714285711</c:v>
                </c:pt>
                <c:pt idx="1">
                  <c:v>520.71428571428567</c:v>
                </c:pt>
                <c:pt idx="2">
                  <c:v>588.28571428571433</c:v>
                </c:pt>
                <c:pt idx="3">
                  <c:v>675.14285714285711</c:v>
                </c:pt>
                <c:pt idx="4">
                  <c:v>715.85714285714289</c:v>
                </c:pt>
                <c:pt idx="5">
                  <c:v>713.71428571428567</c:v>
                </c:pt>
                <c:pt idx="6">
                  <c:v>683.71428571428567</c:v>
                </c:pt>
                <c:pt idx="7">
                  <c:v>606.42857142857144</c:v>
                </c:pt>
                <c:pt idx="8">
                  <c:v>612.28571428571433</c:v>
                </c:pt>
                <c:pt idx="9">
                  <c:v>648</c:v>
                </c:pt>
                <c:pt idx="10">
                  <c:v>664.85714285714289</c:v>
                </c:pt>
                <c:pt idx="11">
                  <c:v>657.85714285714289</c:v>
                </c:pt>
                <c:pt idx="12">
                  <c:v>696.57142857142856</c:v>
                </c:pt>
                <c:pt idx="13">
                  <c:v>726.57142857142856</c:v>
                </c:pt>
                <c:pt idx="14">
                  <c:v>753.28571428571433</c:v>
                </c:pt>
                <c:pt idx="15">
                  <c:v>777.85714285714289</c:v>
                </c:pt>
                <c:pt idx="16">
                  <c:v>850.71428571428567</c:v>
                </c:pt>
                <c:pt idx="17">
                  <c:v>872.14285714285711</c:v>
                </c:pt>
                <c:pt idx="18">
                  <c:v>861</c:v>
                </c:pt>
                <c:pt idx="19">
                  <c:v>905</c:v>
                </c:pt>
                <c:pt idx="20">
                  <c:v>925</c:v>
                </c:pt>
                <c:pt idx="21">
                  <c:v>999.14285714285722</c:v>
                </c:pt>
                <c:pt idx="22">
                  <c:v>867.85714285714289</c:v>
                </c:pt>
                <c:pt idx="23">
                  <c:v>835</c:v>
                </c:pt>
                <c:pt idx="24">
                  <c:v>795.7142857</c:v>
                </c:pt>
                <c:pt idx="25">
                  <c:v>769.71428571428567</c:v>
                </c:pt>
              </c:numCache>
            </c:numRef>
          </c:val>
          <c:extLst>
            <c:ext xmlns:c16="http://schemas.microsoft.com/office/drawing/2014/chart" uri="{C3380CC4-5D6E-409C-BE32-E72D297353CC}">
              <c16:uniqueId val="{00000000-229F-48E1-8210-111AB9FBC53B}"/>
            </c:ext>
          </c:extLst>
        </c:ser>
        <c:dLbls>
          <c:showLegendKey val="0"/>
          <c:showVal val="0"/>
          <c:showCatName val="0"/>
          <c:showSerName val="0"/>
          <c:showPercent val="0"/>
          <c:showBubbleSize val="0"/>
        </c:dLbls>
        <c:gapWidth val="219"/>
        <c:overlap val="-27"/>
        <c:axId val="1911705359"/>
        <c:axId val="1911704879"/>
      </c:barChart>
      <c:lineChart>
        <c:grouping val="standard"/>
        <c:varyColors val="0"/>
        <c:ser>
          <c:idx val="1"/>
          <c:order val="1"/>
          <c:tx>
            <c:strRef>
              <c:f>領域別コンディション!$E$3</c:f>
              <c:strCache>
                <c:ptCount val="1"/>
                <c:pt idx="0">
                  <c:v>変化率</c:v>
                </c:pt>
              </c:strCache>
            </c:strRef>
          </c:tx>
          <c:spPr>
            <a:ln w="28575" cap="rnd">
              <a:solidFill>
                <a:srgbClr val="C00000"/>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Rakuten Sans JP" panose="020B0400000000000000" pitchFamily="34" charset="-128"/>
                    <a:ea typeface="Rakuten Sans JP" panose="020B0400000000000000" pitchFamily="34"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領域別コンディション!$M$34:$M$59</c:f>
              <c:numCache>
                <c:formatCode>0%</c:formatCode>
                <c:ptCount val="26"/>
                <c:pt idx="0">
                  <c:v>0.66233766233766234</c:v>
                </c:pt>
                <c:pt idx="1">
                  <c:v>0.6396981396981396</c:v>
                </c:pt>
                <c:pt idx="2">
                  <c:v>0.72270972270972278</c:v>
                </c:pt>
                <c:pt idx="3">
                  <c:v>0.82941382941382935</c:v>
                </c:pt>
                <c:pt idx="4">
                  <c:v>0.8794313794313795</c:v>
                </c:pt>
                <c:pt idx="5">
                  <c:v>0.87679887679887669</c:v>
                </c:pt>
                <c:pt idx="6">
                  <c:v>0.83994383994383992</c:v>
                </c:pt>
                <c:pt idx="7">
                  <c:v>0.74499824499824496</c:v>
                </c:pt>
                <c:pt idx="8">
                  <c:v>0.75219375219375229</c:v>
                </c:pt>
                <c:pt idx="9">
                  <c:v>0.7960687960687961</c:v>
                </c:pt>
                <c:pt idx="10">
                  <c:v>0.8167778167778168</c:v>
                </c:pt>
                <c:pt idx="11">
                  <c:v>0.80817830817830827</c:v>
                </c:pt>
                <c:pt idx="12">
                  <c:v>0.85573885573885566</c:v>
                </c:pt>
                <c:pt idx="13">
                  <c:v>0.89259389259389255</c:v>
                </c:pt>
                <c:pt idx="14">
                  <c:v>0.92541242541242552</c:v>
                </c:pt>
                <c:pt idx="15">
                  <c:v>0.95559845559845569</c:v>
                </c:pt>
                <c:pt idx="16">
                  <c:v>1.0451035451035451</c:v>
                </c:pt>
                <c:pt idx="17">
                  <c:v>1.0714285714285714</c:v>
                </c:pt>
                <c:pt idx="18">
                  <c:v>1.0577395577395576</c:v>
                </c:pt>
                <c:pt idx="19">
                  <c:v>1.1117936117936118</c:v>
                </c:pt>
                <c:pt idx="20">
                  <c:v>1.1363636363636365</c:v>
                </c:pt>
                <c:pt idx="21">
                  <c:v>1.2274482274482275</c:v>
                </c:pt>
                <c:pt idx="22">
                  <c:v>1.0661635661635662</c:v>
                </c:pt>
                <c:pt idx="23">
                  <c:v>1.0257985257985258</c:v>
                </c:pt>
                <c:pt idx="24">
                  <c:v>0.97753597751842758</c:v>
                </c:pt>
                <c:pt idx="25">
                  <c:v>0.9455949455949455</c:v>
                </c:pt>
              </c:numCache>
            </c:numRef>
          </c:val>
          <c:smooth val="0"/>
          <c:extLst>
            <c:ext xmlns:c16="http://schemas.microsoft.com/office/drawing/2014/chart" uri="{C3380CC4-5D6E-409C-BE32-E72D297353CC}">
              <c16:uniqueId val="{00000001-229F-48E1-8210-111AB9FBC53B}"/>
            </c:ext>
          </c:extLst>
        </c:ser>
        <c:dLbls>
          <c:showLegendKey val="0"/>
          <c:showVal val="0"/>
          <c:showCatName val="0"/>
          <c:showSerName val="0"/>
          <c:showPercent val="0"/>
          <c:showBubbleSize val="0"/>
        </c:dLbls>
        <c:marker val="1"/>
        <c:smooth val="0"/>
        <c:axId val="2092357999"/>
        <c:axId val="2092356079"/>
      </c:lineChart>
      <c:catAx>
        <c:axId val="19117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4879"/>
        <c:crosses val="autoZero"/>
        <c:auto val="1"/>
        <c:lblAlgn val="ctr"/>
        <c:lblOffset val="100"/>
        <c:noMultiLvlLbl val="0"/>
      </c:catAx>
      <c:valAx>
        <c:axId val="191170487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5359"/>
        <c:crosses val="autoZero"/>
        <c:crossBetween val="between"/>
      </c:valAx>
      <c:valAx>
        <c:axId val="20923560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2092357999"/>
        <c:crosses val="max"/>
        <c:crossBetween val="between"/>
      </c:valAx>
      <c:catAx>
        <c:axId val="2092357999"/>
        <c:scaling>
          <c:orientation val="minMax"/>
        </c:scaling>
        <c:delete val="1"/>
        <c:axPos val="b"/>
        <c:numFmt formatCode="General" sourceLinked="1"/>
        <c:majorTickMark val="out"/>
        <c:minorTickMark val="none"/>
        <c:tickLblPos val="nextTo"/>
        <c:crossAx val="2092356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r>
              <a:rPr lang="en-US"/>
              <a:t>SEM_Daily_CPA_Condition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ja-JP" altLang="en-US"/>
        </a:p>
      </c:txPr>
    </c:title>
    <c:autoTitleDeleted val="0"/>
    <c:plotArea>
      <c:layout/>
      <c:barChart>
        <c:barDir val="col"/>
        <c:grouping val="clustered"/>
        <c:varyColors val="0"/>
        <c:ser>
          <c:idx val="0"/>
          <c:order val="0"/>
          <c:tx>
            <c:strRef>
              <c:f>領域別コンディション!$H$3</c:f>
              <c:strCache>
                <c:ptCount val="1"/>
                <c:pt idx="0">
                  <c:v>CPA</c:v>
                </c:pt>
              </c:strCache>
            </c:strRef>
          </c:tx>
          <c:spPr>
            <a:solidFill>
              <a:schemeClr val="tx2">
                <a:lumMod val="60000"/>
                <a:lumOff val="40000"/>
              </a:schemeClr>
            </a:solidFill>
            <a:ln>
              <a:noFill/>
            </a:ln>
            <a:effectLst/>
          </c:spPr>
          <c:invertIfNegative val="0"/>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領域別コンディション!$P$34:$P$59</c:f>
              <c:numCache>
                <c:formatCode>_-"¥"* #,##0_-;\-"¥"* #,##0_-;_-"¥"* "-"_-;_-@_-</c:formatCode>
                <c:ptCount val="26"/>
                <c:pt idx="0">
                  <c:v>2745.4772125066247</c:v>
                </c:pt>
                <c:pt idx="1">
                  <c:v>2230.0565157750343</c:v>
                </c:pt>
                <c:pt idx="2">
                  <c:v>2062.415250121418</c:v>
                </c:pt>
                <c:pt idx="3">
                  <c:v>2455.6705459162085</c:v>
                </c:pt>
                <c:pt idx="4">
                  <c:v>2029.6308122131311</c:v>
                </c:pt>
                <c:pt idx="5">
                  <c:v>2040.2612089671738</c:v>
                </c:pt>
                <c:pt idx="6">
                  <c:v>2524.2250313414129</c:v>
                </c:pt>
                <c:pt idx="7">
                  <c:v>2929.8174322732625</c:v>
                </c:pt>
                <c:pt idx="8">
                  <c:v>2341.4941670555295</c:v>
                </c:pt>
                <c:pt idx="9">
                  <c:v>3254.1261022927688</c:v>
                </c:pt>
                <c:pt idx="10">
                  <c:v>2667.7529007305543</c:v>
                </c:pt>
                <c:pt idx="11">
                  <c:v>2084.5656894679696</c:v>
                </c:pt>
                <c:pt idx="12">
                  <c:v>2318.8098851517639</c:v>
                </c:pt>
                <c:pt idx="13">
                  <c:v>2147.6211167911915</c:v>
                </c:pt>
                <c:pt idx="14">
                  <c:v>2187.1710601175801</c:v>
                </c:pt>
                <c:pt idx="15">
                  <c:v>2269.1946740128556</c:v>
                </c:pt>
                <c:pt idx="16">
                  <c:v>2185.7195633921074</c:v>
                </c:pt>
                <c:pt idx="17">
                  <c:v>2181.4738738738738</c:v>
                </c:pt>
                <c:pt idx="18">
                  <c:v>2165.5888501742161</c:v>
                </c:pt>
                <c:pt idx="19">
                  <c:v>2054.6910812943961</c:v>
                </c:pt>
                <c:pt idx="20">
                  <c:v>1967.2572972972973</c:v>
                </c:pt>
                <c:pt idx="21">
                  <c:v>2442.9408855710913</c:v>
                </c:pt>
                <c:pt idx="22">
                  <c:v>2009.0597530864195</c:v>
                </c:pt>
                <c:pt idx="23">
                  <c:v>2014.7382468146418</c:v>
                </c:pt>
                <c:pt idx="24">
                  <c:v>2207.6993197032475</c:v>
                </c:pt>
                <c:pt idx="25">
                  <c:v>1808.3880846325169</c:v>
                </c:pt>
              </c:numCache>
            </c:numRef>
          </c:val>
          <c:extLst>
            <c:ext xmlns:c16="http://schemas.microsoft.com/office/drawing/2014/chart" uri="{C3380CC4-5D6E-409C-BE32-E72D297353CC}">
              <c16:uniqueId val="{00000000-4E6D-408A-BC33-7E05C0DC429C}"/>
            </c:ext>
          </c:extLst>
        </c:ser>
        <c:dLbls>
          <c:showLegendKey val="0"/>
          <c:showVal val="0"/>
          <c:showCatName val="0"/>
          <c:showSerName val="0"/>
          <c:showPercent val="0"/>
          <c:showBubbleSize val="0"/>
        </c:dLbls>
        <c:gapWidth val="219"/>
        <c:overlap val="-27"/>
        <c:axId val="1911705359"/>
        <c:axId val="1911704879"/>
      </c:barChart>
      <c:lineChart>
        <c:grouping val="standard"/>
        <c:varyColors val="0"/>
        <c:ser>
          <c:idx val="1"/>
          <c:order val="1"/>
          <c:tx>
            <c:strRef>
              <c:f>領域別コンディション!$I$3</c:f>
              <c:strCache>
                <c:ptCount val="1"/>
                <c:pt idx="0">
                  <c:v>変化率</c:v>
                </c:pt>
              </c:strCache>
            </c:strRef>
          </c:tx>
          <c:spPr>
            <a:ln w="28575" cap="rnd">
              <a:solidFill>
                <a:schemeClr val="accent2"/>
              </a:solidFill>
              <a:round/>
            </a:ln>
            <a:effectLst/>
          </c:spPr>
          <c:marker>
            <c:symbol val="circle"/>
            <c:size val="9"/>
            <c:spPr>
              <a:solidFill>
                <a:schemeClr val="bg1"/>
              </a:solidFill>
              <a:ln w="9525">
                <a:solidFill>
                  <a:schemeClr val="tx1"/>
                </a:solidFill>
              </a:ln>
              <a:effectLst/>
            </c:spPr>
          </c:marker>
          <c:dLbls>
            <c:spPr>
              <a:noFill/>
              <a:ln>
                <a:noFill/>
              </a:ln>
              <a:effectLst/>
            </c:spPr>
            <c:txPr>
              <a:bodyPr rot="0" spcFirstLastPara="1" vertOverflow="ellipsis" vert="horz" wrap="square" anchor="ctr" anchorCtr="1"/>
              <a:lstStyle/>
              <a:p>
                <a:pPr>
                  <a:defRPr lang="ja-JP" sz="900" b="0" i="0" u="none" strike="noStrike" kern="1200" baseline="0">
                    <a:solidFill>
                      <a:schemeClr val="tx1">
                        <a:lumMod val="75000"/>
                        <a:lumOff val="25000"/>
                      </a:schemeClr>
                    </a:solidFill>
                    <a:latin typeface="Rakuten Sans JP" panose="020B0400000000000000" pitchFamily="34" charset="-128"/>
                    <a:ea typeface="Rakuten Sans JP" panose="020B0400000000000000" pitchFamily="34" charset="-128"/>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領域別コンディション!$B$5:$B$30</c:f>
              <c:strCache>
                <c:ptCount val="26"/>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pt idx="25">
                  <c:v>移管後26W</c:v>
                </c:pt>
              </c:strCache>
            </c:strRef>
          </c:cat>
          <c:val>
            <c:numRef>
              <c:f>領域別コンディション!$Q$34:$Q$59</c:f>
              <c:numCache>
                <c:formatCode>0%</c:formatCode>
                <c:ptCount val="26"/>
                <c:pt idx="0">
                  <c:v>1.2769661453519185</c:v>
                </c:pt>
                <c:pt idx="1">
                  <c:v>1.0372355887325742</c:v>
                </c:pt>
                <c:pt idx="2">
                  <c:v>0.9592629070332177</c:v>
                </c:pt>
                <c:pt idx="3">
                  <c:v>1.1421723469377714</c:v>
                </c:pt>
                <c:pt idx="4">
                  <c:v>0.94401433126192147</c:v>
                </c:pt>
                <c:pt idx="5">
                  <c:v>0.94895870184519715</c:v>
                </c:pt>
                <c:pt idx="6">
                  <c:v>1.174058154112285</c:v>
                </c:pt>
                <c:pt idx="7">
                  <c:v>1.3627057824526803</c:v>
                </c:pt>
                <c:pt idx="8">
                  <c:v>1.0890670544444323</c:v>
                </c:pt>
                <c:pt idx="9">
                  <c:v>1.513547024322218</c:v>
                </c:pt>
                <c:pt idx="10">
                  <c:v>1.2408153026653741</c:v>
                </c:pt>
                <c:pt idx="11">
                  <c:v>0.96956543696184638</c:v>
                </c:pt>
                <c:pt idx="12">
                  <c:v>1.0785162256519831</c:v>
                </c:pt>
                <c:pt idx="13">
                  <c:v>0.99889354269357744</c:v>
                </c:pt>
                <c:pt idx="14">
                  <c:v>1.0172888651709675</c:v>
                </c:pt>
                <c:pt idx="15">
                  <c:v>1.0554393832617932</c:v>
                </c:pt>
                <c:pt idx="16">
                  <c:v>1.0166137504149337</c:v>
                </c:pt>
                <c:pt idx="17">
                  <c:v>1.0146390111041272</c:v>
                </c:pt>
                <c:pt idx="18">
                  <c:v>1.0072506279880076</c:v>
                </c:pt>
                <c:pt idx="19">
                  <c:v>0.9556702703694866</c:v>
                </c:pt>
                <c:pt idx="20">
                  <c:v>0.91500339409176623</c:v>
                </c:pt>
                <c:pt idx="21">
                  <c:v>1.1362515746842285</c:v>
                </c:pt>
                <c:pt idx="22">
                  <c:v>0.93444639678438113</c:v>
                </c:pt>
                <c:pt idx="23">
                  <c:v>0.93708755665797294</c:v>
                </c:pt>
                <c:pt idx="24">
                  <c:v>1.0268368928852314</c:v>
                </c:pt>
                <c:pt idx="25">
                  <c:v>0.84111073703837991</c:v>
                </c:pt>
              </c:numCache>
            </c:numRef>
          </c:val>
          <c:smooth val="0"/>
          <c:extLst>
            <c:ext xmlns:c16="http://schemas.microsoft.com/office/drawing/2014/chart" uri="{C3380CC4-5D6E-409C-BE32-E72D297353CC}">
              <c16:uniqueId val="{00000001-4E6D-408A-BC33-7E05C0DC429C}"/>
            </c:ext>
          </c:extLst>
        </c:ser>
        <c:dLbls>
          <c:showLegendKey val="0"/>
          <c:showVal val="0"/>
          <c:showCatName val="0"/>
          <c:showSerName val="0"/>
          <c:showPercent val="0"/>
          <c:showBubbleSize val="0"/>
        </c:dLbls>
        <c:marker val="1"/>
        <c:smooth val="0"/>
        <c:axId val="2092357999"/>
        <c:axId val="2092356079"/>
      </c:lineChart>
      <c:catAx>
        <c:axId val="1911705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4879"/>
        <c:crosses val="autoZero"/>
        <c:auto val="1"/>
        <c:lblAlgn val="ctr"/>
        <c:lblOffset val="100"/>
        <c:noMultiLvlLbl val="0"/>
      </c:catAx>
      <c:valAx>
        <c:axId val="1911704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quot;¥&quot;* #,##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1911705359"/>
        <c:crosses val="autoZero"/>
        <c:crossBetween val="between"/>
      </c:valAx>
      <c:valAx>
        <c:axId val="20923560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crossAx val="2092357999"/>
        <c:crosses val="max"/>
        <c:crossBetween val="between"/>
      </c:valAx>
      <c:catAx>
        <c:axId val="2092357999"/>
        <c:scaling>
          <c:orientation val="minMax"/>
        </c:scaling>
        <c:delete val="1"/>
        <c:axPos val="b"/>
        <c:numFmt formatCode="General" sourceLinked="1"/>
        <c:majorTickMark val="out"/>
        <c:minorTickMark val="none"/>
        <c:tickLblPos val="nextTo"/>
        <c:crossAx val="20923560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ja-JP" sz="900" b="0" i="0" u="none" strike="noStrike" kern="1200" baseline="0">
              <a:solidFill>
                <a:schemeClr val="tx1">
                  <a:lumMod val="65000"/>
                  <a:lumOff val="35000"/>
                </a:schemeClr>
              </a:solidFill>
              <a:latin typeface="Rakuten Sans JP" panose="020B0400000000000000" pitchFamily="34" charset="-128"/>
              <a:ea typeface="Rakuten Sans JP" panose="020B0400000000000000" pitchFamily="34" charset="-128"/>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ja-JP" sz="1400" b="0" i="0" u="none" strike="noStrike" kern="1200" spc="0" baseline="0">
                <a:solidFill>
                  <a:schemeClr val="tx1"/>
                </a:solidFill>
                <a:latin typeface="Rakuten Sans JP" panose="020B0400000000000000" pitchFamily="34" charset="-128"/>
                <a:ea typeface="Rakuten Sans JP" panose="020B0400000000000000" pitchFamily="34" charset="-128"/>
                <a:cs typeface="+mn-cs"/>
              </a:defRPr>
            </a:pPr>
            <a:r>
              <a:rPr lang="ja-JP"/>
              <a:t>全体</a:t>
            </a:r>
            <a:r>
              <a:rPr lang="en-US"/>
              <a:t>_1-3</a:t>
            </a:r>
            <a:r>
              <a:rPr lang="ja-JP"/>
              <a:t>月平均対比</a:t>
            </a:r>
            <a:r>
              <a:rPr lang="en-US"/>
              <a:t>_Condition</a:t>
            </a:r>
            <a:endParaRPr lang="ja-JP"/>
          </a:p>
        </c:rich>
      </c:tx>
      <c:overlay val="0"/>
      <c:spPr>
        <a:noFill/>
        <a:ln>
          <a:noFill/>
        </a:ln>
        <a:effectLst/>
      </c:spPr>
      <c:txPr>
        <a:bodyPr rot="0" spcFirstLastPara="1" vertOverflow="ellipsis" vert="horz" wrap="square" anchor="ctr" anchorCtr="1"/>
        <a:lstStyle/>
        <a:p>
          <a:pPr>
            <a:defRPr lang="ja-JP" sz="1400" b="0" i="0" u="none" strike="noStrike" kern="1200" spc="0" baseline="0">
              <a:solidFill>
                <a:schemeClr val="tx1"/>
              </a:solidFill>
              <a:latin typeface="Rakuten Sans JP" panose="020B0400000000000000" pitchFamily="34" charset="-128"/>
              <a:ea typeface="Rakuten Sans JP" panose="020B0400000000000000" pitchFamily="34" charset="-128"/>
              <a:cs typeface="+mn-cs"/>
            </a:defRPr>
          </a:pPr>
          <a:endParaRPr lang="ja-JP" altLang="en-US"/>
        </a:p>
      </c:txPr>
    </c:title>
    <c:autoTitleDeleted val="0"/>
    <c:plotArea>
      <c:layout/>
      <c:areaChart>
        <c:grouping val="stacked"/>
        <c:varyColors val="0"/>
        <c:ser>
          <c:idx val="2"/>
          <c:order val="1"/>
          <c:tx>
            <c:strRef>
              <c:f>領域別コンディション!$B$32</c:f>
              <c:strCache>
                <c:ptCount val="1"/>
                <c:pt idx="0">
                  <c:v>AFF</c:v>
                </c:pt>
              </c:strCache>
            </c:strRef>
          </c:tx>
          <c:spPr>
            <a:solidFill>
              <a:srgbClr val="C00000"/>
            </a:solidFill>
            <a:ln>
              <a:noFill/>
            </a:ln>
            <a:effectLst/>
          </c:spPr>
          <c:cat>
            <c:strRef>
              <c:f>領域別コンディション!$B$5:$B$29</c:f>
              <c:strCache>
                <c:ptCount val="25"/>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strCache>
            </c:strRef>
          </c:cat>
          <c:val>
            <c:numRef>
              <c:f>領域別コンディション!$D$34:$D$58</c:f>
              <c:numCache>
                <c:formatCode>_-* #,##0_-;\-* #,##0_-;_-* "-"_-;_-@_-</c:formatCode>
                <c:ptCount val="25"/>
                <c:pt idx="0">
                  <c:v>355.57142857142856</c:v>
                </c:pt>
                <c:pt idx="1">
                  <c:v>318.42857142857144</c:v>
                </c:pt>
                <c:pt idx="2">
                  <c:v>312.57142857142856</c:v>
                </c:pt>
                <c:pt idx="3">
                  <c:v>342.28571428571428</c:v>
                </c:pt>
                <c:pt idx="4">
                  <c:v>457.28571428571428</c:v>
                </c:pt>
                <c:pt idx="5">
                  <c:v>317.57142857142856</c:v>
                </c:pt>
                <c:pt idx="6">
                  <c:v>343.42857142857144</c:v>
                </c:pt>
                <c:pt idx="7">
                  <c:v>362.71428571428572</c:v>
                </c:pt>
                <c:pt idx="8">
                  <c:v>351.57142857142856</c:v>
                </c:pt>
                <c:pt idx="9">
                  <c:v>366.28571428571428</c:v>
                </c:pt>
                <c:pt idx="10">
                  <c:v>351.57142857142856</c:v>
                </c:pt>
                <c:pt idx="11">
                  <c:v>324.28571428571428</c:v>
                </c:pt>
                <c:pt idx="12">
                  <c:v>331</c:v>
                </c:pt>
                <c:pt idx="13">
                  <c:v>301.28571428571428</c:v>
                </c:pt>
                <c:pt idx="14">
                  <c:v>388.71428571428572</c:v>
                </c:pt>
                <c:pt idx="15">
                  <c:v>370.28571428571428</c:v>
                </c:pt>
                <c:pt idx="16">
                  <c:v>368.14285714285717</c:v>
                </c:pt>
                <c:pt idx="17">
                  <c:v>333.71428571428572</c:v>
                </c:pt>
                <c:pt idx="18">
                  <c:v>368</c:v>
                </c:pt>
                <c:pt idx="19">
                  <c:v>394</c:v>
                </c:pt>
                <c:pt idx="20">
                  <c:v>412</c:v>
                </c:pt>
                <c:pt idx="21">
                  <c:v>377.14285714285717</c:v>
                </c:pt>
                <c:pt idx="22">
                  <c:v>358</c:v>
                </c:pt>
                <c:pt idx="23">
                  <c:v>344.42857142857144</c:v>
                </c:pt>
                <c:pt idx="24">
                  <c:v>310.14285714285717</c:v>
                </c:pt>
              </c:numCache>
            </c:numRef>
          </c:val>
          <c:extLst>
            <c:ext xmlns:c16="http://schemas.microsoft.com/office/drawing/2014/chart" uri="{C3380CC4-5D6E-409C-BE32-E72D297353CC}">
              <c16:uniqueId val="{00000000-F7BA-4CE3-A19B-B245F5C88F45}"/>
            </c:ext>
          </c:extLst>
        </c:ser>
        <c:ser>
          <c:idx val="3"/>
          <c:order val="2"/>
          <c:tx>
            <c:strRef>
              <c:f>領域別コンディション!$J$32</c:f>
              <c:strCache>
                <c:ptCount val="1"/>
                <c:pt idx="0">
                  <c:v>SEM</c:v>
                </c:pt>
              </c:strCache>
            </c:strRef>
          </c:tx>
          <c:spPr>
            <a:solidFill>
              <a:schemeClr val="accent6">
                <a:lumMod val="60000"/>
                <a:lumOff val="40000"/>
              </a:schemeClr>
            </a:solidFill>
            <a:ln>
              <a:noFill/>
            </a:ln>
            <a:effectLst/>
          </c:spPr>
          <c:cat>
            <c:strRef>
              <c:f>領域別コンディション!$B$5:$B$29</c:f>
              <c:strCache>
                <c:ptCount val="25"/>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strCache>
            </c:strRef>
          </c:cat>
          <c:val>
            <c:numRef>
              <c:f>領域別コンディション!$L$34:$L$58</c:f>
              <c:numCache>
                <c:formatCode>_-* #,##0_-;\-* #,##0_-;_-* "-"_-;_-@_-</c:formatCode>
                <c:ptCount val="25"/>
                <c:pt idx="0">
                  <c:v>539.14285714285711</c:v>
                </c:pt>
                <c:pt idx="1">
                  <c:v>520.71428571428567</c:v>
                </c:pt>
                <c:pt idx="2">
                  <c:v>588.28571428571433</c:v>
                </c:pt>
                <c:pt idx="3">
                  <c:v>675.14285714285711</c:v>
                </c:pt>
                <c:pt idx="4">
                  <c:v>715.85714285714289</c:v>
                </c:pt>
                <c:pt idx="5">
                  <c:v>713.71428571428567</c:v>
                </c:pt>
                <c:pt idx="6">
                  <c:v>683.71428571428567</c:v>
                </c:pt>
                <c:pt idx="7">
                  <c:v>606.42857142857144</c:v>
                </c:pt>
                <c:pt idx="8">
                  <c:v>612.28571428571433</c:v>
                </c:pt>
                <c:pt idx="9">
                  <c:v>648</c:v>
                </c:pt>
                <c:pt idx="10">
                  <c:v>664.85714285714289</c:v>
                </c:pt>
                <c:pt idx="11">
                  <c:v>657.85714285714289</c:v>
                </c:pt>
                <c:pt idx="12">
                  <c:v>696.57142857142856</c:v>
                </c:pt>
                <c:pt idx="13">
                  <c:v>726.57142857142856</c:v>
                </c:pt>
                <c:pt idx="14">
                  <c:v>753.28571428571433</c:v>
                </c:pt>
                <c:pt idx="15">
                  <c:v>777.85714285714289</c:v>
                </c:pt>
                <c:pt idx="16">
                  <c:v>850.71428571428567</c:v>
                </c:pt>
                <c:pt idx="17">
                  <c:v>872.14285714285711</c:v>
                </c:pt>
                <c:pt idx="18">
                  <c:v>861</c:v>
                </c:pt>
                <c:pt idx="19">
                  <c:v>905</c:v>
                </c:pt>
                <c:pt idx="20">
                  <c:v>925</c:v>
                </c:pt>
                <c:pt idx="21">
                  <c:v>999.14285714285722</c:v>
                </c:pt>
                <c:pt idx="22">
                  <c:v>867.85714285714289</c:v>
                </c:pt>
                <c:pt idx="23">
                  <c:v>835</c:v>
                </c:pt>
                <c:pt idx="24">
                  <c:v>795.7142857</c:v>
                </c:pt>
              </c:numCache>
            </c:numRef>
          </c:val>
          <c:extLst>
            <c:ext xmlns:c16="http://schemas.microsoft.com/office/drawing/2014/chart" uri="{C3380CC4-5D6E-409C-BE32-E72D297353CC}">
              <c16:uniqueId val="{00000001-F7BA-4CE3-A19B-B245F5C88F45}"/>
            </c:ext>
          </c:extLst>
        </c:ser>
        <c:dLbls>
          <c:showLegendKey val="0"/>
          <c:showVal val="0"/>
          <c:showCatName val="0"/>
          <c:showSerName val="0"/>
          <c:showPercent val="0"/>
          <c:showBubbleSize val="0"/>
        </c:dLbls>
        <c:axId val="259184960"/>
        <c:axId val="259179200"/>
      </c:areaChart>
      <c:lineChart>
        <c:grouping val="standard"/>
        <c:varyColors val="0"/>
        <c:ser>
          <c:idx val="1"/>
          <c:order val="0"/>
          <c:tx>
            <c:v>全体_変化率</c:v>
          </c:tx>
          <c:spPr>
            <a:ln w="28575" cap="rnd">
              <a:solidFill>
                <a:schemeClr val="accent1">
                  <a:lumMod val="75000"/>
                </a:schemeClr>
              </a:solidFill>
              <a:round/>
            </a:ln>
            <a:effectLst/>
          </c:spPr>
          <c:marker>
            <c:symbol val="circle"/>
            <c:size val="5"/>
            <c:spPr>
              <a:solidFill>
                <a:schemeClr val="tx2">
                  <a:lumMod val="60000"/>
                  <a:lumOff val="40000"/>
                </a:schemeClr>
              </a:solidFill>
              <a:ln w="50800">
                <a:solidFill>
                  <a:schemeClr val="accent1">
                    <a:lumMod val="75000"/>
                  </a:schemeClr>
                </a:solidFill>
              </a:ln>
              <a:effectLst/>
            </c:spPr>
          </c:marker>
          <c:dLbls>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A-4CE3-A19B-B245F5C88F45}"/>
                </c:ext>
              </c:extLst>
            </c:dLbl>
            <c:spPr>
              <a:noFill/>
              <a:ln>
                <a:noFill/>
              </a:ln>
              <a:effectLst/>
            </c:spPr>
            <c:txPr>
              <a:bodyPr rot="0" spcFirstLastPara="1" vertOverflow="ellipsis" vert="horz" wrap="square" anchor="ctr" anchorCtr="1"/>
              <a:lstStyle/>
              <a:p>
                <a:pPr>
                  <a:defRPr lang="ja-JP" sz="900" b="1" i="0" u="none" strike="noStrike" kern="1200" baseline="0">
                    <a:solidFill>
                      <a:schemeClr val="tx1"/>
                    </a:solidFill>
                    <a:latin typeface="Rakuten Sans JP" panose="020B0400000000000000" pitchFamily="34" charset="-128"/>
                    <a:ea typeface="Rakuten Sans JP" panose="020B0400000000000000" pitchFamily="34" charset="-128"/>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領域別コンディション!$B$5:$B$29</c:f>
              <c:strCache>
                <c:ptCount val="25"/>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strCache>
            </c:strRef>
          </c:cat>
          <c:val>
            <c:numRef>
              <c:f>領域別コンディション!$E$5:$E$29</c:f>
              <c:numCache>
                <c:formatCode>0%</c:formatCode>
                <c:ptCount val="25"/>
                <c:pt idx="0">
                  <c:v>0.70450713723727099</c:v>
                </c:pt>
                <c:pt idx="1">
                  <c:v>0.66078453411262228</c:v>
                </c:pt>
                <c:pt idx="2">
                  <c:v>0.72878498370237166</c:v>
                </c:pt>
                <c:pt idx="3">
                  <c:v>0.80622681802854901</c:v>
                </c:pt>
                <c:pt idx="4">
                  <c:v>0.9244689221085759</c:v>
                </c:pt>
                <c:pt idx="5">
                  <c:v>0.81712936945037662</c:v>
                </c:pt>
                <c:pt idx="6">
                  <c:v>0.81128470270877817</c:v>
                </c:pt>
                <c:pt idx="7">
                  <c:v>0.7657637405867147</c:v>
                </c:pt>
                <c:pt idx="8">
                  <c:v>0.77958862537934137</c:v>
                </c:pt>
                <c:pt idx="9">
                  <c:v>0.81578060020231546</c:v>
                </c:pt>
                <c:pt idx="10">
                  <c:v>0.80026975384961219</c:v>
                </c:pt>
                <c:pt idx="11">
                  <c:v>0.77306957401371246</c:v>
                </c:pt>
                <c:pt idx="12">
                  <c:v>0.8084747667753176</c:v>
                </c:pt>
                <c:pt idx="13">
                  <c:v>0.80869956164999446</c:v>
                </c:pt>
                <c:pt idx="14">
                  <c:v>0.89850511408339895</c:v>
                </c:pt>
                <c:pt idx="15">
                  <c:v>0.90333820388895125</c:v>
                </c:pt>
                <c:pt idx="16">
                  <c:v>0.9589749353714736</c:v>
                </c:pt>
                <c:pt idx="17">
                  <c:v>0.94874676857367657</c:v>
                </c:pt>
                <c:pt idx="18">
                  <c:v>0.96695515342250193</c:v>
                </c:pt>
                <c:pt idx="19">
                  <c:v>1.022029897718332</c:v>
                </c:pt>
                <c:pt idx="20">
                  <c:v>1.0519276160503541</c:v>
                </c:pt>
                <c:pt idx="21">
                  <c:v>1.082836911318422</c:v>
                </c:pt>
                <c:pt idx="22">
                  <c:v>0.96448240980105659</c:v>
                </c:pt>
                <c:pt idx="23">
                  <c:v>0.92795324266606727</c:v>
                </c:pt>
                <c:pt idx="24">
                  <c:v>0.87006856242553676</c:v>
                </c:pt>
              </c:numCache>
            </c:numRef>
          </c:val>
          <c:smooth val="0"/>
          <c:extLst>
            <c:ext xmlns:c16="http://schemas.microsoft.com/office/drawing/2014/chart" uri="{C3380CC4-5D6E-409C-BE32-E72D297353CC}">
              <c16:uniqueId val="{00000003-F7BA-4CE3-A19B-B245F5C88F45}"/>
            </c:ext>
          </c:extLst>
        </c:ser>
        <c:ser>
          <c:idx val="4"/>
          <c:order val="3"/>
          <c:spPr>
            <a:ln w="28575" cap="rnd">
              <a:solidFill>
                <a:srgbClr val="FF0000"/>
              </a:solidFill>
              <a:round/>
            </a:ln>
            <a:effectLst/>
          </c:spPr>
          <c:marker>
            <c:symbol val="circle"/>
            <c:size val="5"/>
            <c:spPr>
              <a:solidFill>
                <a:schemeClr val="accent3">
                  <a:lumMod val="60000"/>
                  <a:lumOff val="40000"/>
                </a:schemeClr>
              </a:solidFill>
              <a:ln w="50800">
                <a:solidFill>
                  <a:srgbClr val="FF0000"/>
                </a:solidFill>
              </a:ln>
              <a:effectLst/>
            </c:spPr>
          </c:marker>
          <c:dLbls>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A-4CE3-A19B-B245F5C88F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Rakuten Sans JP" panose="020B0400000000000000" pitchFamily="34" charset="-128"/>
                    <a:ea typeface="Rakuten Sans JP" panose="020B0400000000000000" pitchFamily="34" charset="-128"/>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領域別コンディション!$B$5:$B$29</c:f>
              <c:strCache>
                <c:ptCount val="25"/>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strCache>
            </c:strRef>
          </c:cat>
          <c:val>
            <c:numRef>
              <c:f>領域別コンディション!$E$34:$E$58</c:f>
              <c:numCache>
                <c:formatCode>0%</c:formatCode>
                <c:ptCount val="25"/>
                <c:pt idx="0">
                  <c:v>0.77805564238824632</c:v>
                </c:pt>
                <c:pt idx="1">
                  <c:v>0.69678024382619574</c:v>
                </c:pt>
                <c:pt idx="2">
                  <c:v>0.68396373866833382</c:v>
                </c:pt>
                <c:pt idx="3">
                  <c:v>0.74898405751797437</c:v>
                </c:pt>
                <c:pt idx="4">
                  <c:v>1.0006251953735543</c:v>
                </c:pt>
                <c:pt idx="5">
                  <c:v>0.69490465770553289</c:v>
                </c:pt>
                <c:pt idx="6">
                  <c:v>0.75148483901219132</c:v>
                </c:pt>
                <c:pt idx="7">
                  <c:v>0.79368552672710224</c:v>
                </c:pt>
                <c:pt idx="8">
                  <c:v>0.76930290715848704</c:v>
                </c:pt>
                <c:pt idx="9">
                  <c:v>0.80150046889653015</c:v>
                </c:pt>
                <c:pt idx="10">
                  <c:v>0.76930290715848704</c:v>
                </c:pt>
                <c:pt idx="11">
                  <c:v>0.70959674898405745</c:v>
                </c:pt>
                <c:pt idx="12">
                  <c:v>0.72428884026258211</c:v>
                </c:pt>
                <c:pt idx="13">
                  <c:v>0.65926852141294157</c:v>
                </c:pt>
                <c:pt idx="14">
                  <c:v>0.85057830572053772</c:v>
                </c:pt>
                <c:pt idx="15">
                  <c:v>0.81025320412628943</c:v>
                </c:pt>
                <c:pt idx="16">
                  <c:v>0.80556423882463279</c:v>
                </c:pt>
                <c:pt idx="17">
                  <c:v>0.73022819631134728</c:v>
                </c:pt>
                <c:pt idx="18">
                  <c:v>0.80525164113785563</c:v>
                </c:pt>
                <c:pt idx="19">
                  <c:v>0.862144420131291</c:v>
                </c:pt>
                <c:pt idx="20">
                  <c:v>0.90153172866520792</c:v>
                </c:pt>
                <c:pt idx="21">
                  <c:v>0.82525789309159114</c:v>
                </c:pt>
                <c:pt idx="22">
                  <c:v>0.78336980306345738</c:v>
                </c:pt>
                <c:pt idx="23">
                  <c:v>0.75367302281963122</c:v>
                </c:pt>
                <c:pt idx="24">
                  <c:v>0.67864957799312287</c:v>
                </c:pt>
              </c:numCache>
            </c:numRef>
          </c:val>
          <c:smooth val="0"/>
          <c:extLst>
            <c:ext xmlns:c16="http://schemas.microsoft.com/office/drawing/2014/chart" uri="{C3380CC4-5D6E-409C-BE32-E72D297353CC}">
              <c16:uniqueId val="{00000005-F7BA-4CE3-A19B-B245F5C88F45}"/>
            </c:ext>
          </c:extLst>
        </c:ser>
        <c:ser>
          <c:idx val="5"/>
          <c:order val="4"/>
          <c:spPr>
            <a:ln w="28575" cap="rnd">
              <a:solidFill>
                <a:srgbClr val="00B050"/>
              </a:solidFill>
              <a:round/>
            </a:ln>
            <a:effectLst/>
          </c:spPr>
          <c:marker>
            <c:symbol val="circle"/>
            <c:size val="5"/>
            <c:spPr>
              <a:solidFill>
                <a:srgbClr val="C00000"/>
              </a:solidFill>
              <a:ln w="50800">
                <a:solidFill>
                  <a:srgbClr val="00B050"/>
                </a:solidFill>
              </a:ln>
              <a:effectLst/>
            </c:spPr>
          </c:marker>
          <c:dLbls>
            <c:dLbl>
              <c:idx val="2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A-4CE3-A19B-B245F5C88F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Rakuten Sans JP" panose="020B0400000000000000" pitchFamily="34" charset="-128"/>
                    <a:ea typeface="Rakuten Sans JP" panose="020B0400000000000000" pitchFamily="34" charset="-128"/>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領域別コンディション!$B$5:$B$29</c:f>
              <c:strCache>
                <c:ptCount val="25"/>
                <c:pt idx="0">
                  <c:v>移管後1W</c:v>
                </c:pt>
                <c:pt idx="1">
                  <c:v>移管後2W</c:v>
                </c:pt>
                <c:pt idx="2">
                  <c:v>移管後3W</c:v>
                </c:pt>
                <c:pt idx="3">
                  <c:v>移管後4W</c:v>
                </c:pt>
                <c:pt idx="4">
                  <c:v>移管後5W</c:v>
                </c:pt>
                <c:pt idx="5">
                  <c:v>移管後6W</c:v>
                </c:pt>
                <c:pt idx="6">
                  <c:v>移管後7W</c:v>
                </c:pt>
                <c:pt idx="7">
                  <c:v>移管後8W</c:v>
                </c:pt>
                <c:pt idx="8">
                  <c:v>移管後9W</c:v>
                </c:pt>
                <c:pt idx="9">
                  <c:v>移管後10W</c:v>
                </c:pt>
                <c:pt idx="10">
                  <c:v>移管後11W</c:v>
                </c:pt>
                <c:pt idx="11">
                  <c:v>移管後12W</c:v>
                </c:pt>
                <c:pt idx="12">
                  <c:v>移管後13W</c:v>
                </c:pt>
                <c:pt idx="13">
                  <c:v>移管後14W</c:v>
                </c:pt>
                <c:pt idx="14">
                  <c:v>移管後15W</c:v>
                </c:pt>
                <c:pt idx="15">
                  <c:v>移管後16W</c:v>
                </c:pt>
                <c:pt idx="16">
                  <c:v>移管後17W</c:v>
                </c:pt>
                <c:pt idx="17">
                  <c:v>移管後18W</c:v>
                </c:pt>
                <c:pt idx="18">
                  <c:v>移管後19W</c:v>
                </c:pt>
                <c:pt idx="19">
                  <c:v>移管後20W</c:v>
                </c:pt>
                <c:pt idx="20">
                  <c:v>移管後21W</c:v>
                </c:pt>
                <c:pt idx="21">
                  <c:v>移管後22W</c:v>
                </c:pt>
                <c:pt idx="22">
                  <c:v>移管後23W</c:v>
                </c:pt>
                <c:pt idx="23">
                  <c:v>移管後24W</c:v>
                </c:pt>
                <c:pt idx="24">
                  <c:v>移管後25W</c:v>
                </c:pt>
              </c:strCache>
            </c:strRef>
          </c:cat>
          <c:val>
            <c:numRef>
              <c:f>領域別コンディション!$M$34:$M$58</c:f>
              <c:numCache>
                <c:formatCode>0%</c:formatCode>
                <c:ptCount val="25"/>
                <c:pt idx="0">
                  <c:v>0.66233766233766234</c:v>
                </c:pt>
                <c:pt idx="1">
                  <c:v>0.6396981396981396</c:v>
                </c:pt>
                <c:pt idx="2">
                  <c:v>0.72270972270972278</c:v>
                </c:pt>
                <c:pt idx="3">
                  <c:v>0.82941382941382935</c:v>
                </c:pt>
                <c:pt idx="4">
                  <c:v>0.8794313794313795</c:v>
                </c:pt>
                <c:pt idx="5">
                  <c:v>0.87679887679887669</c:v>
                </c:pt>
                <c:pt idx="6">
                  <c:v>0.83994383994383992</c:v>
                </c:pt>
                <c:pt idx="7">
                  <c:v>0.74499824499824496</c:v>
                </c:pt>
                <c:pt idx="8">
                  <c:v>0.75219375219375229</c:v>
                </c:pt>
                <c:pt idx="9">
                  <c:v>0.7960687960687961</c:v>
                </c:pt>
                <c:pt idx="10">
                  <c:v>0.8167778167778168</c:v>
                </c:pt>
                <c:pt idx="11">
                  <c:v>0.80817830817830827</c:v>
                </c:pt>
                <c:pt idx="12">
                  <c:v>0.85573885573885566</c:v>
                </c:pt>
                <c:pt idx="13">
                  <c:v>0.89259389259389255</c:v>
                </c:pt>
                <c:pt idx="14">
                  <c:v>0.92541242541242552</c:v>
                </c:pt>
                <c:pt idx="15">
                  <c:v>0.95559845559845569</c:v>
                </c:pt>
                <c:pt idx="16">
                  <c:v>1.0451035451035451</c:v>
                </c:pt>
                <c:pt idx="17">
                  <c:v>1.0714285714285714</c:v>
                </c:pt>
                <c:pt idx="18">
                  <c:v>1.0577395577395576</c:v>
                </c:pt>
                <c:pt idx="19">
                  <c:v>1.1117936117936118</c:v>
                </c:pt>
                <c:pt idx="20">
                  <c:v>1.1363636363636365</c:v>
                </c:pt>
                <c:pt idx="21">
                  <c:v>1.2274482274482275</c:v>
                </c:pt>
                <c:pt idx="22">
                  <c:v>1.0661635661635662</c:v>
                </c:pt>
                <c:pt idx="23">
                  <c:v>1.0257985257985258</c:v>
                </c:pt>
                <c:pt idx="24">
                  <c:v>0.97753597751842758</c:v>
                </c:pt>
              </c:numCache>
            </c:numRef>
          </c:val>
          <c:smooth val="0"/>
          <c:extLst>
            <c:ext xmlns:c16="http://schemas.microsoft.com/office/drawing/2014/chart" uri="{C3380CC4-5D6E-409C-BE32-E72D297353CC}">
              <c16:uniqueId val="{00000007-F7BA-4CE3-A19B-B245F5C88F45}"/>
            </c:ext>
          </c:extLst>
        </c:ser>
        <c:dLbls>
          <c:showLegendKey val="0"/>
          <c:showVal val="0"/>
          <c:showCatName val="0"/>
          <c:showSerName val="0"/>
          <c:showPercent val="0"/>
          <c:showBubbleSize val="0"/>
        </c:dLbls>
        <c:marker val="1"/>
        <c:smooth val="0"/>
        <c:axId val="259171520"/>
        <c:axId val="259174400"/>
      </c:lineChart>
      <c:catAx>
        <c:axId val="2591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ja-JP" sz="800" b="0" i="0" u="none" strike="noStrike" kern="1200" baseline="0">
                <a:solidFill>
                  <a:schemeClr val="tx1"/>
                </a:solidFill>
                <a:latin typeface="Rakuten Sans JP" panose="020B0400000000000000" pitchFamily="34" charset="-128"/>
                <a:ea typeface="Rakuten Sans JP" panose="020B0400000000000000" pitchFamily="34" charset="-128"/>
                <a:cs typeface="+mn-cs"/>
              </a:defRPr>
            </a:pPr>
            <a:endParaRPr lang="en-US"/>
          </a:p>
        </c:txPr>
        <c:crossAx val="259179200"/>
        <c:crosses val="autoZero"/>
        <c:auto val="1"/>
        <c:lblAlgn val="ctr"/>
        <c:lblOffset val="100"/>
        <c:noMultiLvlLbl val="0"/>
      </c:catAx>
      <c:valAx>
        <c:axId val="259179200"/>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solidFill>
                <a:latin typeface="Rakuten Sans JP" panose="020B0400000000000000" pitchFamily="34" charset="-128"/>
                <a:ea typeface="Rakuten Sans JP" panose="020B0400000000000000" pitchFamily="34" charset="-128"/>
                <a:cs typeface="+mn-cs"/>
              </a:defRPr>
            </a:pPr>
            <a:endParaRPr lang="en-US"/>
          </a:p>
        </c:txPr>
        <c:crossAx val="259184960"/>
        <c:crosses val="autoZero"/>
        <c:crossBetween val="between"/>
      </c:valAx>
      <c:valAx>
        <c:axId val="25917440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ja-JP" sz="900" b="0" i="0" u="none" strike="noStrike" kern="1200" baseline="0">
                <a:solidFill>
                  <a:schemeClr val="tx1"/>
                </a:solidFill>
                <a:latin typeface="Rakuten Sans JP" panose="020B0400000000000000" pitchFamily="34" charset="-128"/>
                <a:ea typeface="Rakuten Sans JP" panose="020B0400000000000000" pitchFamily="34" charset="-128"/>
                <a:cs typeface="+mn-cs"/>
              </a:defRPr>
            </a:pPr>
            <a:endParaRPr lang="en-US"/>
          </a:p>
        </c:txPr>
        <c:crossAx val="259171520"/>
        <c:crosses val="max"/>
        <c:crossBetween val="between"/>
      </c:valAx>
      <c:catAx>
        <c:axId val="259171520"/>
        <c:scaling>
          <c:orientation val="minMax"/>
        </c:scaling>
        <c:delete val="1"/>
        <c:axPos val="b"/>
        <c:numFmt formatCode="General" sourceLinked="1"/>
        <c:majorTickMark val="out"/>
        <c:minorTickMark val="none"/>
        <c:tickLblPos val="nextTo"/>
        <c:crossAx val="259174400"/>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latin typeface="Rakuten Sans JP" panose="020B0400000000000000" pitchFamily="34" charset="-128"/>
          <a:ea typeface="Rakuten Sans JP" panose="020B0400000000000000" pitchFamily="34" charset="-128"/>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19</xdr:col>
      <xdr:colOff>508364</xdr:colOff>
      <xdr:row>1</xdr:row>
      <xdr:rowOff>168275</xdr:rowOff>
    </xdr:from>
    <xdr:to>
      <xdr:col>29</xdr:col>
      <xdr:colOff>932000</xdr:colOff>
      <xdr:row>25</xdr:row>
      <xdr:rowOff>1905</xdr:rowOff>
    </xdr:to>
    <xdr:graphicFrame macro="">
      <xdr:nvGraphicFramePr>
        <xdr:cNvPr id="2" name="グラフ 1">
          <a:extLst>
            <a:ext uri="{FF2B5EF4-FFF2-40B4-BE49-F238E27FC236}">
              <a16:creationId xmlns:a16="http://schemas.microsoft.com/office/drawing/2014/main" id="{4E581BA0-4C39-4BAD-A7F3-1BF10068A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46266</xdr:colOff>
      <xdr:row>1</xdr:row>
      <xdr:rowOff>172085</xdr:rowOff>
    </xdr:from>
    <xdr:to>
      <xdr:col>43</xdr:col>
      <xdr:colOff>345985</xdr:colOff>
      <xdr:row>25</xdr:row>
      <xdr:rowOff>1905</xdr:rowOff>
    </xdr:to>
    <xdr:graphicFrame macro="">
      <xdr:nvGraphicFramePr>
        <xdr:cNvPr id="3" name="グラフ 2">
          <a:extLst>
            <a:ext uri="{FF2B5EF4-FFF2-40B4-BE49-F238E27FC236}">
              <a16:creationId xmlns:a16="http://schemas.microsoft.com/office/drawing/2014/main" id="{0223B5FA-055A-4F74-9C7B-F928DFEE3EF7}"/>
            </a:ext>
            <a:ext uri="{147F2762-F138-4A5C-976F-8EAC2B608ADB}">
              <a16:predDERef xmlns:a16="http://schemas.microsoft.com/office/drawing/2014/main" pre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444500</xdr:colOff>
      <xdr:row>25</xdr:row>
      <xdr:rowOff>254000</xdr:rowOff>
    </xdr:from>
    <xdr:to>
      <xdr:col>27</xdr:col>
      <xdr:colOff>521970</xdr:colOff>
      <xdr:row>44</xdr:row>
      <xdr:rowOff>99060</xdr:rowOff>
    </xdr:to>
    <xdr:graphicFrame macro="">
      <xdr:nvGraphicFramePr>
        <xdr:cNvPr id="4" name="グラフ 3">
          <a:extLst>
            <a:ext uri="{FF2B5EF4-FFF2-40B4-BE49-F238E27FC236}">
              <a16:creationId xmlns:a16="http://schemas.microsoft.com/office/drawing/2014/main" id="{C3ED93AB-DF25-4388-9894-512A51071B11}"/>
            </a:ext>
            <a:ext uri="{147F2762-F138-4A5C-976F-8EAC2B608ADB}">
              <a16:predDERef xmlns:a16="http://schemas.microsoft.com/office/drawing/2014/main" pre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28</xdr:col>
      <xdr:colOff>63500</xdr:colOff>
      <xdr:row>25</xdr:row>
      <xdr:rowOff>241300</xdr:rowOff>
    </xdr:from>
    <xdr:to>
      <xdr:col>40</xdr:col>
      <xdr:colOff>551815</xdr:colOff>
      <xdr:row>44</xdr:row>
      <xdr:rowOff>84455</xdr:rowOff>
    </xdr:to>
    <xdr:graphicFrame macro="">
      <xdr:nvGraphicFramePr>
        <xdr:cNvPr id="5" name="グラフ 4">
          <a:extLst>
            <a:ext uri="{FF2B5EF4-FFF2-40B4-BE49-F238E27FC236}">
              <a16:creationId xmlns:a16="http://schemas.microsoft.com/office/drawing/2014/main" id="{7D36F291-116A-44B7-9251-DEFC97D9EDFA}"/>
            </a:ext>
            <a:ext uri="{147F2762-F138-4A5C-976F-8EAC2B608ADB}">
              <a16:predDERef xmlns:a16="http://schemas.microsoft.com/office/drawing/2014/main" pred="{00000000-0008-0000-04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457200</xdr:colOff>
      <xdr:row>45</xdr:row>
      <xdr:rowOff>50800</xdr:rowOff>
    </xdr:from>
    <xdr:to>
      <xdr:col>27</xdr:col>
      <xdr:colOff>534670</xdr:colOff>
      <xdr:row>70</xdr:row>
      <xdr:rowOff>187960</xdr:rowOff>
    </xdr:to>
    <xdr:graphicFrame macro="">
      <xdr:nvGraphicFramePr>
        <xdr:cNvPr id="6" name="グラフ 5">
          <a:extLst>
            <a:ext uri="{FF2B5EF4-FFF2-40B4-BE49-F238E27FC236}">
              <a16:creationId xmlns:a16="http://schemas.microsoft.com/office/drawing/2014/main" id="{075F0570-1C9C-41A7-B033-89EEF9FA014C}"/>
            </a:ext>
            <a:ext uri="{147F2762-F138-4A5C-976F-8EAC2B608ADB}">
              <a16:predDERef xmlns:a16="http://schemas.microsoft.com/office/drawing/2014/main" pred="{00000000-0008-0000-04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76200</xdr:colOff>
      <xdr:row>45</xdr:row>
      <xdr:rowOff>38100</xdr:rowOff>
    </xdr:from>
    <xdr:to>
      <xdr:col>40</xdr:col>
      <xdr:colOff>564515</xdr:colOff>
      <xdr:row>70</xdr:row>
      <xdr:rowOff>173355</xdr:rowOff>
    </xdr:to>
    <xdr:graphicFrame macro="">
      <xdr:nvGraphicFramePr>
        <xdr:cNvPr id="7" name="グラフ 6">
          <a:extLst>
            <a:ext uri="{FF2B5EF4-FFF2-40B4-BE49-F238E27FC236}">
              <a16:creationId xmlns:a16="http://schemas.microsoft.com/office/drawing/2014/main" id="{FEEB1AD2-1EE8-4A99-B137-9CADFBD68A26}"/>
            </a:ext>
            <a:ext uri="{147F2762-F138-4A5C-976F-8EAC2B608ADB}">
              <a16:predDERef xmlns:a16="http://schemas.microsoft.com/office/drawing/2014/main" pred="{00000000-0008-0000-04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95250</xdr:colOff>
      <xdr:row>3</xdr:row>
      <xdr:rowOff>21227</xdr:rowOff>
    </xdr:from>
    <xdr:to>
      <xdr:col>19</xdr:col>
      <xdr:colOff>186690</xdr:colOff>
      <xdr:row>25</xdr:row>
      <xdr:rowOff>21475</xdr:rowOff>
    </xdr:to>
    <xdr:graphicFrame macro="">
      <xdr:nvGraphicFramePr>
        <xdr:cNvPr id="8" name="グラフ 1">
          <a:extLst>
            <a:ext uri="{FF2B5EF4-FFF2-40B4-BE49-F238E27FC236}">
              <a16:creationId xmlns:a16="http://schemas.microsoft.com/office/drawing/2014/main" id="{7963A5C0-0451-45FA-BEE3-E4A5C1206296}"/>
            </a:ext>
            <a:ext uri="{147F2762-F138-4A5C-976F-8EAC2B608ADB}">
              <a16:predDERef xmlns:a16="http://schemas.microsoft.com/office/drawing/2014/main" pred="{00000000-0008-0000-04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s-marika.a.kitahara\Desktop\1105&#12304;&#27005;&#22825;&#12459;&#12540;&#12489;&#12305;Weekly_&#38936;&#22495;&#21029;&#12467;&#12531;&#12487;&#12451;&#12471;&#12519;&#12531;&#12524;&#12509;&#12540;&#12488;.xlsx" TargetMode="External"/><Relationship Id="rId1" Type="http://schemas.openxmlformats.org/officeDocument/2006/relationships/externalLinkPath" Target="1105&#12304;&#27005;&#22825;&#12459;&#12540;&#12489;&#12305;Weekly_&#38936;&#22495;&#21029;&#12467;&#12531;&#12487;&#12451;&#12471;&#12519;&#12531;&#12524;&#12509;&#12540;&#1248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デイリーレポート"/>
      <sheetName val="目標"/>
      <sheetName val="週別×領域2別集計"/>
      <sheetName val="領域別コンディション"/>
      <sheetName val="SEM_ブレイクダウン"/>
      <sheetName val="PJT管理"/>
      <sheetName val="サマリ"/>
      <sheetName val="DM関連相談"/>
      <sheetName val="楽天経済圏外DM"/>
    </sheetNames>
    <sheetDataSet>
      <sheetData sheetId="0"/>
      <sheetData sheetId="1"/>
      <sheetData sheetId="2"/>
      <sheetData sheetId="3">
        <row r="3">
          <cell r="D3" t="str">
            <v>Daily_AFCV</v>
          </cell>
          <cell r="E3" t="str">
            <v>変化率</v>
          </cell>
          <cell r="H3" t="str">
            <v>CPA</v>
          </cell>
          <cell r="I3" t="str">
            <v>変化率</v>
          </cell>
        </row>
        <row r="5">
          <cell r="B5" t="str">
            <v>移管後1W</v>
          </cell>
          <cell r="D5">
            <v>895.42857142857144</v>
          </cell>
          <cell r="E5">
            <v>0.70450713723727099</v>
          </cell>
          <cell r="H5">
            <v>4131.3208359923419</v>
          </cell>
          <cell r="I5">
            <v>1.1449262342777085</v>
          </cell>
        </row>
        <row r="6">
          <cell r="B6" t="str">
            <v>移管後2W</v>
          </cell>
          <cell r="D6">
            <v>839.85714285714289</v>
          </cell>
          <cell r="E6">
            <v>0.66078453411262228</v>
          </cell>
          <cell r="H6">
            <v>3787.1389692124508</v>
          </cell>
          <cell r="I6">
            <v>1.0495420062589425</v>
          </cell>
        </row>
        <row r="7">
          <cell r="B7" t="str">
            <v>移管後3W</v>
          </cell>
          <cell r="D7">
            <v>926.28571428571433</v>
          </cell>
          <cell r="E7">
            <v>0.72878498370237166</v>
          </cell>
          <cell r="H7">
            <v>3485.3448488587287</v>
          </cell>
          <cell r="I7">
            <v>0.96590483077418154</v>
          </cell>
        </row>
        <row r="8">
          <cell r="B8" t="str">
            <v>移管後4W</v>
          </cell>
          <cell r="D8">
            <v>1024.7142857142858</v>
          </cell>
          <cell r="E8">
            <v>0.80622681802854901</v>
          </cell>
          <cell r="H8">
            <v>3801.9572006134113</v>
          </cell>
          <cell r="I8">
            <v>1.053648630399278</v>
          </cell>
        </row>
        <row r="9">
          <cell r="B9" t="str">
            <v>移管後5W</v>
          </cell>
          <cell r="D9">
            <v>1175</v>
          </cell>
          <cell r="E9">
            <v>0.9244689221085759</v>
          </cell>
          <cell r="H9">
            <v>3708.9602431610938</v>
          </cell>
          <cell r="I9">
            <v>1.0278760843971491</v>
          </cell>
        </row>
        <row r="10">
          <cell r="B10" t="str">
            <v>移管後6W</v>
          </cell>
          <cell r="D10">
            <v>1038.5714285714287</v>
          </cell>
          <cell r="E10">
            <v>0.81712936945037662</v>
          </cell>
          <cell r="H10">
            <v>3292.0371389270972</v>
          </cell>
          <cell r="I10">
            <v>0.91233284322465769</v>
          </cell>
        </row>
        <row r="11">
          <cell r="B11" t="str">
            <v>移管後7W</v>
          </cell>
          <cell r="D11">
            <v>1031.1428571428571</v>
          </cell>
          <cell r="E11">
            <v>0.81128470270877817</v>
          </cell>
          <cell r="H11">
            <v>3623.8879190911612</v>
          </cell>
          <cell r="I11">
            <v>1.0042997175388619</v>
          </cell>
        </row>
        <row r="12">
          <cell r="B12" t="str">
            <v>移管後8W</v>
          </cell>
          <cell r="D12">
            <v>973.28571428571433</v>
          </cell>
          <cell r="E12">
            <v>0.7657637405867147</v>
          </cell>
          <cell r="H12">
            <v>4194.3967415235575</v>
          </cell>
          <cell r="I12">
            <v>1.1624066629010072</v>
          </cell>
        </row>
        <row r="13">
          <cell r="B13" t="str">
            <v>移管後9W</v>
          </cell>
          <cell r="D13">
            <v>990.85714285714289</v>
          </cell>
          <cell r="E13">
            <v>0.77958862537934137</v>
          </cell>
          <cell r="H13">
            <v>3788.8571222606688</v>
          </cell>
          <cell r="I13">
            <v>1.050018163540718</v>
          </cell>
        </row>
        <row r="14">
          <cell r="B14" t="str">
            <v>移管後10W</v>
          </cell>
          <cell r="D14">
            <v>1036.8571428571429</v>
          </cell>
          <cell r="E14">
            <v>0.81578060020231546</v>
          </cell>
          <cell r="H14">
            <v>4216.1997795535963</v>
          </cell>
          <cell r="I14">
            <v>1.1684490089734951</v>
          </cell>
        </row>
        <row r="15">
          <cell r="B15" t="str">
            <v>移管後11W</v>
          </cell>
          <cell r="D15">
            <v>1017.1428571428571</v>
          </cell>
          <cell r="E15">
            <v>0.80026975384961219</v>
          </cell>
          <cell r="H15">
            <v>3810.2272471910114</v>
          </cell>
          <cell r="I15">
            <v>1.0559405350131492</v>
          </cell>
        </row>
        <row r="16">
          <cell r="B16" t="str">
            <v>移管後12W</v>
          </cell>
          <cell r="D16">
            <v>982.57142857142856</v>
          </cell>
          <cell r="E16">
            <v>0.77306957401371246</v>
          </cell>
          <cell r="H16">
            <v>3265.1703983716197</v>
          </cell>
          <cell r="I16">
            <v>0.90488717698070198</v>
          </cell>
        </row>
        <row r="17">
          <cell r="B17" t="str">
            <v>移管後13W</v>
          </cell>
          <cell r="D17">
            <v>1027.5714285714287</v>
          </cell>
          <cell r="E17">
            <v>0.8084747667753176</v>
          </cell>
          <cell r="H17">
            <v>3397.0075072987624</v>
          </cell>
          <cell r="I17">
            <v>0.94142361911489336</v>
          </cell>
        </row>
        <row r="18">
          <cell r="B18" t="str">
            <v>移管後14W</v>
          </cell>
          <cell r="D18">
            <v>1027.8571428571429</v>
          </cell>
          <cell r="E18">
            <v>0.80869956164999446</v>
          </cell>
          <cell r="H18">
            <v>3368.282279360667</v>
          </cell>
          <cell r="I18">
            <v>0.93346290428359591</v>
          </cell>
        </row>
        <row r="19">
          <cell r="B19" t="str">
            <v>移管後15W</v>
          </cell>
          <cell r="D19">
            <v>1142</v>
          </cell>
          <cell r="E19">
            <v>0.89850511408339895</v>
          </cell>
          <cell r="H19">
            <v>3590.9414560920691</v>
          </cell>
          <cell r="I19">
            <v>0.99516915825484564</v>
          </cell>
        </row>
        <row r="20">
          <cell r="B20" t="str">
            <v>移管後16W</v>
          </cell>
          <cell r="D20">
            <v>1148.1428571428571</v>
          </cell>
          <cell r="E20">
            <v>0.90333820388895125</v>
          </cell>
          <cell r="H20">
            <v>3673.9784745551824</v>
          </cell>
          <cell r="I20">
            <v>1.0181814743224706</v>
          </cell>
        </row>
        <row r="21">
          <cell r="B21" t="str">
            <v>移管後17W</v>
          </cell>
          <cell r="D21">
            <v>1218.8571428571429</v>
          </cell>
          <cell r="E21">
            <v>0.9589749353714736</v>
          </cell>
          <cell r="H21">
            <v>3569.3530239099855</v>
          </cell>
          <cell r="I21">
            <v>0.9891862865914165</v>
          </cell>
        </row>
        <row r="22">
          <cell r="B22" t="str">
            <v>移管後18W</v>
          </cell>
          <cell r="D22">
            <v>1205.8571428571429</v>
          </cell>
          <cell r="E22">
            <v>0.94874676857367657</v>
          </cell>
          <cell r="H22">
            <v>3331.3857362871699</v>
          </cell>
          <cell r="I22">
            <v>0.92323764660063579</v>
          </cell>
        </row>
        <row r="23">
          <cell r="B23" t="str">
            <v>移管後19W</v>
          </cell>
          <cell r="D23">
            <v>1229</v>
          </cell>
          <cell r="E23">
            <v>0.96695515342250193</v>
          </cell>
          <cell r="H23">
            <v>3339.1709868650469</v>
          </cell>
          <cell r="I23">
            <v>0.92539519813945148</v>
          </cell>
        </row>
        <row r="24">
          <cell r="B24" t="str">
            <v>移管後20W</v>
          </cell>
          <cell r="D24">
            <v>1299</v>
          </cell>
          <cell r="E24">
            <v>1.022029897718332</v>
          </cell>
          <cell r="H24">
            <v>3398.2040030792919</v>
          </cell>
          <cell r="I24">
            <v>0.9417552078398348</v>
          </cell>
        </row>
        <row r="25">
          <cell r="B25" t="str">
            <v>移管後21W</v>
          </cell>
          <cell r="D25">
            <v>1337</v>
          </cell>
          <cell r="E25">
            <v>1.0519276160503541</v>
          </cell>
          <cell r="H25">
            <v>3218.7166363927768</v>
          </cell>
          <cell r="I25">
            <v>0.89201329647568073</v>
          </cell>
        </row>
        <row r="26">
          <cell r="B26" t="str">
            <v>移管後22W</v>
          </cell>
          <cell r="D26">
            <v>1376.2857142857144</v>
          </cell>
          <cell r="E26">
            <v>1.082836911318422</v>
          </cell>
          <cell r="H26">
            <v>3567.2522490851579</v>
          </cell>
          <cell r="I26">
            <v>0.98860409210574485</v>
          </cell>
        </row>
        <row r="27">
          <cell r="B27" t="str">
            <v>移管後23W</v>
          </cell>
          <cell r="D27">
            <v>1225.8571428571429</v>
          </cell>
          <cell r="E27">
            <v>0.96448240980105659</v>
          </cell>
          <cell r="H27">
            <v>3241.5078115366691</v>
          </cell>
          <cell r="I27">
            <v>0.89832948816549718</v>
          </cell>
        </row>
        <row r="28">
          <cell r="B28" t="str">
            <v>移管後24W</v>
          </cell>
          <cell r="D28">
            <v>1179.4285714285716</v>
          </cell>
          <cell r="E28">
            <v>0.92795324266606727</v>
          </cell>
          <cell r="H28">
            <v>3265.0046554451892</v>
          </cell>
          <cell r="I28">
            <v>0.90484124411028366</v>
          </cell>
        </row>
        <row r="29">
          <cell r="B29" t="str">
            <v>移管後25W</v>
          </cell>
          <cell r="D29">
            <v>1105.8571428428572</v>
          </cell>
          <cell r="E29">
            <v>0.87006856242553676</v>
          </cell>
          <cell r="H29">
            <v>3317.992869138528</v>
          </cell>
          <cell r="I29">
            <v>0.91952603824112833</v>
          </cell>
        </row>
        <row r="30">
          <cell r="B30" t="str">
            <v>移管後26W</v>
          </cell>
          <cell r="D30">
            <v>1094.7142857142858</v>
          </cell>
          <cell r="E30">
            <v>0.86130156232437904</v>
          </cell>
          <cell r="H30">
            <v>3351.7659923880396</v>
          </cell>
          <cell r="I30">
            <v>0.92888569253981768</v>
          </cell>
        </row>
        <row r="32">
          <cell r="B32" t="str">
            <v>AFF</v>
          </cell>
          <cell r="H32" t="str">
            <v>CPA</v>
          </cell>
          <cell r="J32" t="str">
            <v>SEM</v>
          </cell>
        </row>
        <row r="34">
          <cell r="D34">
            <v>355.57142857142856</v>
          </cell>
          <cell r="E34">
            <v>0.77805564238824632</v>
          </cell>
          <cell r="H34">
            <v>6240.9353153877064</v>
          </cell>
          <cell r="I34">
            <v>1.0056292805974389</v>
          </cell>
          <cell r="L34">
            <v>539.14285714285711</v>
          </cell>
          <cell r="M34">
            <v>0.66233766233766234</v>
          </cell>
          <cell r="P34">
            <v>2745.4772125066247</v>
          </cell>
          <cell r="Q34">
            <v>1.2769661453519185</v>
          </cell>
        </row>
        <row r="35">
          <cell r="D35">
            <v>318.42857142857144</v>
          </cell>
          <cell r="E35">
            <v>0.69678024382619574</v>
          </cell>
          <cell r="H35">
            <v>6341.872588604755</v>
          </cell>
          <cell r="I35">
            <v>1.0218937461496544</v>
          </cell>
          <cell r="L35">
            <v>520.71428571428567</v>
          </cell>
          <cell r="M35">
            <v>0.6396981396981396</v>
          </cell>
          <cell r="P35">
            <v>2230.0565157750343</v>
          </cell>
          <cell r="Q35">
            <v>1.0372355887325742</v>
          </cell>
        </row>
        <row r="36">
          <cell r="D36">
            <v>312.57142857142856</v>
          </cell>
          <cell r="E36">
            <v>0.68396373866833382</v>
          </cell>
          <cell r="H36">
            <v>6446.9606946983549</v>
          </cell>
          <cell r="I36">
            <v>1.0388270536091451</v>
          </cell>
          <cell r="L36">
            <v>588.28571428571433</v>
          </cell>
          <cell r="M36">
            <v>0.72270972270972278</v>
          </cell>
          <cell r="P36">
            <v>2062.415250121418</v>
          </cell>
          <cell r="Q36">
            <v>0.9592629070332177</v>
          </cell>
        </row>
        <row r="37">
          <cell r="D37">
            <v>342.28571428571428</v>
          </cell>
          <cell r="E37">
            <v>0.74898405751797437</v>
          </cell>
          <cell r="H37">
            <v>6538.3722871452428</v>
          </cell>
          <cell r="I37">
            <v>1.0535566044384859</v>
          </cell>
          <cell r="L37">
            <v>675.14285714285711</v>
          </cell>
          <cell r="M37">
            <v>0.82941382941382935</v>
          </cell>
          <cell r="P37">
            <v>2455.6705459162085</v>
          </cell>
          <cell r="Q37">
            <v>1.1421723469377714</v>
          </cell>
        </row>
        <row r="38">
          <cell r="D38">
            <v>457.28571428571428</v>
          </cell>
          <cell r="E38">
            <v>1.0006251953735543</v>
          </cell>
          <cell r="H38">
            <v>6352.9265854420491</v>
          </cell>
          <cell r="I38">
            <v>1.0236749251437398</v>
          </cell>
          <cell r="L38">
            <v>715.85714285714289</v>
          </cell>
          <cell r="M38">
            <v>0.8794313794313795</v>
          </cell>
          <cell r="P38">
            <v>2029.6308122131311</v>
          </cell>
          <cell r="Q38">
            <v>0.94401433126192147</v>
          </cell>
        </row>
        <row r="39">
          <cell r="D39">
            <v>317.57142857142856</v>
          </cell>
          <cell r="E39">
            <v>0.69490465770553289</v>
          </cell>
          <cell r="H39">
            <v>6180.8209626630687</v>
          </cell>
          <cell r="I39">
            <v>0.99594279127667884</v>
          </cell>
          <cell r="L39">
            <v>713.71428571428567</v>
          </cell>
          <cell r="M39">
            <v>0.87679887679887669</v>
          </cell>
          <cell r="P39">
            <v>2040.2612089671738</v>
          </cell>
          <cell r="Q39">
            <v>0.94895870184519715</v>
          </cell>
        </row>
        <row r="40">
          <cell r="D40">
            <v>343.42857142857144</v>
          </cell>
          <cell r="E40">
            <v>0.75148483901219132</v>
          </cell>
          <cell r="H40">
            <v>5855.3585690515802</v>
          </cell>
          <cell r="I40">
            <v>0.94349960829061874</v>
          </cell>
          <cell r="L40">
            <v>683.71428571428567</v>
          </cell>
          <cell r="M40">
            <v>0.83994383994383992</v>
          </cell>
          <cell r="P40">
            <v>2524.2250313414129</v>
          </cell>
          <cell r="Q40">
            <v>1.174058154112285</v>
          </cell>
        </row>
        <row r="41">
          <cell r="D41">
            <v>362.71428571428572</v>
          </cell>
          <cell r="E41">
            <v>0.79368552672710224</v>
          </cell>
          <cell r="H41">
            <v>6356.5773926742813</v>
          </cell>
          <cell r="I41">
            <v>1.0242631957257946</v>
          </cell>
          <cell r="L41">
            <v>606.42857142857144</v>
          </cell>
          <cell r="M41">
            <v>0.74499824499824496</v>
          </cell>
          <cell r="P41">
            <v>2929.8174322732625</v>
          </cell>
          <cell r="Q41">
            <v>1.3627057824526803</v>
          </cell>
        </row>
        <row r="42">
          <cell r="D42">
            <v>351.57142857142856</v>
          </cell>
          <cell r="E42">
            <v>0.76930290715848704</v>
          </cell>
          <cell r="H42">
            <v>6600.5156440471346</v>
          </cell>
          <cell r="I42">
            <v>1.0635700361016975</v>
          </cell>
          <cell r="L42">
            <v>612.28571428571433</v>
          </cell>
          <cell r="M42">
            <v>0.75219375219375229</v>
          </cell>
          <cell r="P42">
            <v>2341.4941670555295</v>
          </cell>
          <cell r="Q42">
            <v>1.0890670544444323</v>
          </cell>
        </row>
        <row r="43">
          <cell r="D43">
            <v>366.28571428571428</v>
          </cell>
          <cell r="E43">
            <v>0.80150046889653015</v>
          </cell>
          <cell r="H43">
            <v>6178.0273010920437</v>
          </cell>
          <cell r="I43">
            <v>0.99549263633452201</v>
          </cell>
          <cell r="L43">
            <v>648</v>
          </cell>
          <cell r="M43">
            <v>0.7960687960687961</v>
          </cell>
          <cell r="P43">
            <v>3254.1261022927688</v>
          </cell>
          <cell r="Q43">
            <v>1.513547024322218</v>
          </cell>
        </row>
        <row r="44">
          <cell r="D44">
            <v>351.57142857142856</v>
          </cell>
          <cell r="E44">
            <v>0.76930290715848704</v>
          </cell>
          <cell r="H44">
            <v>5978.5030475416506</v>
          </cell>
          <cell r="I44">
            <v>0.96334241823101041</v>
          </cell>
          <cell r="L44">
            <v>664.85714285714289</v>
          </cell>
          <cell r="M44">
            <v>0.8167778167778168</v>
          </cell>
          <cell r="P44">
            <v>2667.7529007305543</v>
          </cell>
          <cell r="Q44">
            <v>1.2408153026653741</v>
          </cell>
        </row>
        <row r="45">
          <cell r="D45">
            <v>324.28571428571428</v>
          </cell>
          <cell r="E45">
            <v>0.70959674898405745</v>
          </cell>
          <cell r="H45">
            <v>5664.500881057269</v>
          </cell>
          <cell r="I45">
            <v>0.91274587190739109</v>
          </cell>
          <cell r="L45">
            <v>657.85714285714289</v>
          </cell>
          <cell r="M45">
            <v>0.80817830817830827</v>
          </cell>
          <cell r="P45">
            <v>2084.5656894679696</v>
          </cell>
          <cell r="Q45">
            <v>0.96956543696184638</v>
          </cell>
        </row>
        <row r="46">
          <cell r="D46">
            <v>331</v>
          </cell>
          <cell r="E46">
            <v>0.72428884026258211</v>
          </cell>
          <cell r="H46">
            <v>5666.015537332758</v>
          </cell>
          <cell r="I46">
            <v>0.9129899351164612</v>
          </cell>
          <cell r="L46">
            <v>696.57142857142856</v>
          </cell>
          <cell r="M46">
            <v>0.85573885573885566</v>
          </cell>
          <cell r="P46">
            <v>2318.8098851517639</v>
          </cell>
          <cell r="Q46">
            <v>1.0785162256519831</v>
          </cell>
        </row>
        <row r="47">
          <cell r="D47">
            <v>301.28571428571428</v>
          </cell>
          <cell r="E47">
            <v>0.65926852141294157</v>
          </cell>
          <cell r="H47">
            <v>6311.99146514936</v>
          </cell>
          <cell r="I47">
            <v>1.0170788696663486</v>
          </cell>
          <cell r="L47">
            <v>726.57142857142856</v>
          </cell>
          <cell r="M47">
            <v>0.89259389259389255</v>
          </cell>
          <cell r="P47">
            <v>2147.6211167911915</v>
          </cell>
          <cell r="Q47">
            <v>0.99889354269357744</v>
          </cell>
        </row>
        <row r="48">
          <cell r="D48">
            <v>388.71428571428572</v>
          </cell>
          <cell r="E48">
            <v>0.85057830572053772</v>
          </cell>
          <cell r="H48">
            <v>6311.2947445791988</v>
          </cell>
          <cell r="I48">
            <v>1.0169666040250078</v>
          </cell>
          <cell r="L48">
            <v>753.28571428571433</v>
          </cell>
          <cell r="M48">
            <v>0.92541242541242552</v>
          </cell>
          <cell r="P48">
            <v>2187.1710601175801</v>
          </cell>
          <cell r="Q48">
            <v>1.0172888651709675</v>
          </cell>
        </row>
        <row r="49">
          <cell r="D49">
            <v>370.28571428571428</v>
          </cell>
          <cell r="E49">
            <v>0.81025320412628943</v>
          </cell>
          <cell r="H49">
            <v>6625.0000000000009</v>
          </cell>
          <cell r="I49">
            <v>1.0675153077666775</v>
          </cell>
          <cell r="L49">
            <v>777.85714285714289</v>
          </cell>
          <cell r="M49">
            <v>0.95559845559845569</v>
          </cell>
          <cell r="P49">
            <v>2269.1946740128556</v>
          </cell>
          <cell r="Q49">
            <v>1.0554393832617932</v>
          </cell>
        </row>
        <row r="50">
          <cell r="D50">
            <v>368.14285714285717</v>
          </cell>
          <cell r="E50">
            <v>0.80556423882463279</v>
          </cell>
          <cell r="H50">
            <v>6766.6899495537436</v>
          </cell>
          <cell r="I50">
            <v>1.0903464308014412</v>
          </cell>
          <cell r="L50">
            <v>850.71428571428567</v>
          </cell>
          <cell r="M50">
            <v>1.0451035451035451</v>
          </cell>
          <cell r="P50">
            <v>2185.7195633921074</v>
          </cell>
          <cell r="Q50">
            <v>1.0166137504149337</v>
          </cell>
        </row>
        <row r="51">
          <cell r="D51">
            <v>333.71428571428572</v>
          </cell>
          <cell r="E51">
            <v>0.73022819631134728</v>
          </cell>
          <cell r="H51">
            <v>6336.6134417808216</v>
          </cell>
          <cell r="I51">
            <v>1.0210463167548858</v>
          </cell>
          <cell r="L51">
            <v>872.14285714285711</v>
          </cell>
          <cell r="M51">
            <v>1.0714285714285714</v>
          </cell>
          <cell r="P51">
            <v>2181.4738738738738</v>
          </cell>
          <cell r="Q51">
            <v>1.0146390111041272</v>
          </cell>
        </row>
        <row r="52">
          <cell r="D52">
            <v>368</v>
          </cell>
          <cell r="E52">
            <v>0.80525164113785563</v>
          </cell>
          <cell r="H52">
            <v>6084.9704968944097</v>
          </cell>
          <cell r="I52">
            <v>0.98049798531975663</v>
          </cell>
          <cell r="L52">
            <v>861</v>
          </cell>
          <cell r="M52">
            <v>1.0577395577395576</v>
          </cell>
          <cell r="P52">
            <v>2165.5888501742161</v>
          </cell>
          <cell r="Q52">
            <v>1.0072506279880076</v>
          </cell>
        </row>
        <row r="53">
          <cell r="D53">
            <v>394</v>
          </cell>
          <cell r="E53">
            <v>0.862144420131291</v>
          </cell>
          <cell r="H53">
            <v>6484.1918056562727</v>
          </cell>
          <cell r="I53">
            <v>1.0448262658163507</v>
          </cell>
          <cell r="L53">
            <v>905</v>
          </cell>
          <cell r="M53">
            <v>1.1117936117936118</v>
          </cell>
          <cell r="P53">
            <v>2054.6910812943961</v>
          </cell>
          <cell r="Q53">
            <v>0.9556702703694866</v>
          </cell>
        </row>
        <row r="54">
          <cell r="D54">
            <v>412</v>
          </cell>
          <cell r="E54">
            <v>0.90153172866520792</v>
          </cell>
          <cell r="H54">
            <v>6028.4251040221907</v>
          </cell>
          <cell r="I54">
            <v>0.97138657815375296</v>
          </cell>
          <cell r="L54">
            <v>925</v>
          </cell>
          <cell r="M54">
            <v>1.1363636363636365</v>
          </cell>
          <cell r="P54">
            <v>1967.2572972972973</v>
          </cell>
          <cell r="Q54">
            <v>0.91500339409176623</v>
          </cell>
        </row>
        <row r="55">
          <cell r="D55">
            <v>377.14285714285717</v>
          </cell>
          <cell r="E55">
            <v>0.82525789309159114</v>
          </cell>
          <cell r="H55">
            <v>6545.8256113644729</v>
          </cell>
          <cell r="I55">
            <v>1.0547575912607916</v>
          </cell>
          <cell r="L55">
            <v>999.14285714285722</v>
          </cell>
          <cell r="M55">
            <v>1.2274482274482275</v>
          </cell>
          <cell r="P55">
            <v>2442.9408855710913</v>
          </cell>
          <cell r="Q55">
            <v>1.1362515746842285</v>
          </cell>
        </row>
        <row r="56">
          <cell r="D56">
            <v>358</v>
          </cell>
          <cell r="E56">
            <v>0.78336980306345738</v>
          </cell>
          <cell r="H56">
            <v>6229.1861655212151</v>
          </cell>
          <cell r="I56">
            <v>1.0037360885467637</v>
          </cell>
          <cell r="L56">
            <v>867.85714285714289</v>
          </cell>
          <cell r="M56">
            <v>1.0661635661635662</v>
          </cell>
          <cell r="P56">
            <v>2009.0597530864195</v>
          </cell>
          <cell r="Q56">
            <v>0.93444639678438113</v>
          </cell>
        </row>
        <row r="57">
          <cell r="D57">
            <v>344.42857142857144</v>
          </cell>
          <cell r="E57">
            <v>0.75367302281963122</v>
          </cell>
          <cell r="H57">
            <v>6296.0320956963533</v>
          </cell>
          <cell r="I57">
            <v>1.0145072664673467</v>
          </cell>
          <cell r="L57">
            <v>835</v>
          </cell>
          <cell r="M57">
            <v>1.0257985257985258</v>
          </cell>
          <cell r="P57">
            <v>2014.7382468146418</v>
          </cell>
          <cell r="Q57">
            <v>0.93708755665797294</v>
          </cell>
        </row>
        <row r="58">
          <cell r="D58">
            <v>310.14285714285717</v>
          </cell>
          <cell r="E58">
            <v>0.67864957799312287</v>
          </cell>
          <cell r="H58">
            <v>6166.6041405542273</v>
          </cell>
          <cell r="I58">
            <v>0.99365197237419067</v>
          </cell>
          <cell r="L58">
            <v>795.7142857</v>
          </cell>
          <cell r="M58">
            <v>0.97753597751842758</v>
          </cell>
          <cell r="P58">
            <v>2207.6993197032475</v>
          </cell>
          <cell r="Q58">
            <v>1.0268368928852314</v>
          </cell>
        </row>
        <row r="59">
          <cell r="D59">
            <v>325</v>
          </cell>
          <cell r="E59">
            <v>0.71115973741794314</v>
          </cell>
          <cell r="H59">
            <v>6359.1298415851952</v>
          </cell>
          <cell r="I59">
            <v>1.0246744830140502</v>
          </cell>
          <cell r="L59">
            <v>769.71428571428567</v>
          </cell>
          <cell r="M59">
            <v>0.9455949455949455</v>
          </cell>
          <cell r="P59">
            <v>1808.3880846325169</v>
          </cell>
          <cell r="Q59">
            <v>0.84111073703837991</v>
          </cell>
        </row>
      </sheetData>
      <sheetData sheetId="4"/>
      <sheetData sheetId="5"/>
      <sheetData sheetId="6"/>
      <sheetData sheetId="7"/>
      <sheetData sheetId="8"/>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F9677-0054-493F-A4FC-F0759974E2C6}">
  <sheetPr>
    <tabColor rgb="FFFF0000"/>
  </sheetPr>
  <dimension ref="B2:AH73"/>
  <sheetViews>
    <sheetView showGridLines="0" tabSelected="1" zoomScale="70" zoomScaleNormal="70" workbookViewId="0">
      <selection sqref="A1:XFD1048576"/>
    </sheetView>
  </sheetViews>
  <sheetFormatPr defaultRowHeight="21" x14ac:dyDescent="0.7"/>
  <cols>
    <col min="1" max="1" width="2.8984375" customWidth="1"/>
    <col min="2" max="2" width="13.69921875" style="1" customWidth="1"/>
    <col min="3" max="3" width="11.5" style="1" bestFit="1" customWidth="1"/>
    <col min="4" max="7" width="9.69921875" style="1" customWidth="1"/>
    <col min="8" max="8" width="10.09765625" style="1" bestFit="1" customWidth="1"/>
    <col min="9" max="9" width="9.69921875" style="1" customWidth="1"/>
    <col min="10" max="10" width="13.69921875" style="1" customWidth="1"/>
    <col min="11" max="11" width="11.5" style="1" customWidth="1"/>
    <col min="12" max="17" width="9.69921875" style="1" customWidth="1"/>
    <col min="18" max="18" width="9.5" style="1" customWidth="1"/>
    <col min="19" max="19" width="11.5" style="1" bestFit="1" customWidth="1"/>
    <col min="20" max="24" width="9.69921875" style="1" customWidth="1"/>
    <col min="25" max="25" width="13.5" style="1" bestFit="1" customWidth="1"/>
    <col min="26" max="26" width="13.69921875" style="1" customWidth="1"/>
    <col min="27" max="27" width="11.5" style="1" bestFit="1" customWidth="1"/>
    <col min="28" max="28" width="8.09765625" style="1" bestFit="1" customWidth="1"/>
    <col min="29" max="29" width="8.796875" style="1"/>
    <col min="30" max="30" width="13.69921875" style="1" customWidth="1"/>
    <col min="31" max="31" width="9.19921875" style="1" bestFit="1" customWidth="1"/>
    <col min="32" max="32" width="8.09765625" style="1" bestFit="1" customWidth="1"/>
    <col min="33" max="34" width="8.796875" style="1"/>
  </cols>
  <sheetData>
    <row r="2" spans="2:9" x14ac:dyDescent="0.7">
      <c r="D2" s="2" t="s">
        <v>0</v>
      </c>
      <c r="E2" s="2"/>
      <c r="F2" s="2" t="s">
        <v>1</v>
      </c>
      <c r="G2" s="2"/>
      <c r="H2" s="2" t="s">
        <v>1</v>
      </c>
    </row>
    <row r="3" spans="2:9" x14ac:dyDescent="0.7">
      <c r="B3" s="3" t="s">
        <v>2</v>
      </c>
      <c r="C3" s="4"/>
      <c r="D3" s="5" t="s">
        <v>3</v>
      </c>
      <c r="E3" s="6" t="s">
        <v>4</v>
      </c>
      <c r="F3" s="6" t="s">
        <v>5</v>
      </c>
      <c r="G3" s="6" t="s">
        <v>4</v>
      </c>
      <c r="H3" s="6" t="s">
        <v>6</v>
      </c>
      <c r="I3" s="6" t="s">
        <v>4</v>
      </c>
    </row>
    <row r="4" spans="2:9" ht="21.6" thickBot="1" x14ac:dyDescent="0.75">
      <c r="B4" s="7" t="s">
        <v>7</v>
      </c>
      <c r="C4" s="8"/>
      <c r="D4" s="9">
        <v>1271</v>
      </c>
      <c r="E4" s="10"/>
      <c r="F4" s="11">
        <v>32103694</v>
      </c>
      <c r="G4" s="10"/>
      <c r="H4" s="12">
        <v>3608.372934697089</v>
      </c>
      <c r="I4" s="10"/>
    </row>
    <row r="5" spans="2:9" ht="21.6" thickTop="1" x14ac:dyDescent="0.7">
      <c r="B5" s="13" t="s">
        <v>8</v>
      </c>
      <c r="C5" s="14" t="s">
        <v>9</v>
      </c>
      <c r="D5" s="15">
        <v>895.42857142857144</v>
      </c>
      <c r="E5" s="16">
        <v>0.70450713723727099</v>
      </c>
      <c r="F5" s="17">
        <v>25895119</v>
      </c>
      <c r="G5" s="16">
        <v>0.80660870365883752</v>
      </c>
      <c r="H5" s="18">
        <v>4131.3208359923419</v>
      </c>
      <c r="I5" s="16">
        <v>1.1449262342777085</v>
      </c>
    </row>
    <row r="6" spans="2:9" x14ac:dyDescent="0.7">
      <c r="B6" s="19" t="s">
        <v>10</v>
      </c>
      <c r="C6" s="6" t="s">
        <v>11</v>
      </c>
      <c r="D6" s="20">
        <v>839.85714285714289</v>
      </c>
      <c r="E6" s="21">
        <v>0.66078453411262228</v>
      </c>
      <c r="F6" s="17">
        <v>22264590</v>
      </c>
      <c r="G6" s="16">
        <v>0.69352112563744217</v>
      </c>
      <c r="H6" s="18">
        <v>3787.1389692124508</v>
      </c>
      <c r="I6" s="16">
        <v>1.0495420062589425</v>
      </c>
    </row>
    <row r="7" spans="2:9" x14ac:dyDescent="0.7">
      <c r="B7" s="19" t="s">
        <v>12</v>
      </c>
      <c r="C7" s="6" t="s">
        <v>13</v>
      </c>
      <c r="D7" s="20">
        <v>926.28571428571433</v>
      </c>
      <c r="E7" s="21">
        <v>0.72878498370237166</v>
      </c>
      <c r="F7" s="17">
        <v>22598976</v>
      </c>
      <c r="G7" s="16">
        <v>0.70393693635380405</v>
      </c>
      <c r="H7" s="18">
        <v>3485.3448488587287</v>
      </c>
      <c r="I7" s="16">
        <v>0.96590483077418154</v>
      </c>
    </row>
    <row r="8" spans="2:9" x14ac:dyDescent="0.7">
      <c r="B8" s="19" t="s">
        <v>14</v>
      </c>
      <c r="C8" s="6" t="s">
        <v>15</v>
      </c>
      <c r="D8" s="20">
        <v>1024.7142857142858</v>
      </c>
      <c r="E8" s="21">
        <v>0.80622681802854901</v>
      </c>
      <c r="F8" s="17">
        <v>27271439</v>
      </c>
      <c r="G8" s="16">
        <v>0.84947978260694856</v>
      </c>
      <c r="H8" s="18">
        <v>3801.9572006134113</v>
      </c>
      <c r="I8" s="16">
        <v>1.053648630399278</v>
      </c>
    </row>
    <row r="9" spans="2:9" x14ac:dyDescent="0.7">
      <c r="B9" s="19" t="s">
        <v>16</v>
      </c>
      <c r="C9" s="6" t="s">
        <v>17</v>
      </c>
      <c r="D9" s="20">
        <v>1175</v>
      </c>
      <c r="E9" s="21">
        <v>0.9244689221085759</v>
      </c>
      <c r="F9" s="17">
        <v>30506198</v>
      </c>
      <c r="G9" s="16">
        <v>0.95023949580381617</v>
      </c>
      <c r="H9" s="18">
        <v>3708.9602431610938</v>
      </c>
      <c r="I9" s="16">
        <v>1.0278760843971491</v>
      </c>
    </row>
    <row r="10" spans="2:9" x14ac:dyDescent="0.7">
      <c r="B10" s="19" t="s">
        <v>18</v>
      </c>
      <c r="C10" s="6" t="s">
        <v>19</v>
      </c>
      <c r="D10" s="20">
        <v>1038.5714285714287</v>
      </c>
      <c r="E10" s="21">
        <v>0.81712936945037662</v>
      </c>
      <c r="F10" s="17">
        <v>23933110</v>
      </c>
      <c r="G10" s="16">
        <v>0.74549396091303388</v>
      </c>
      <c r="H10" s="18">
        <v>3292.0371389270972</v>
      </c>
      <c r="I10" s="16">
        <v>0.91233284322465769</v>
      </c>
    </row>
    <row r="11" spans="2:9" x14ac:dyDescent="0.7">
      <c r="B11" s="19" t="s">
        <v>20</v>
      </c>
      <c r="C11" s="6" t="s">
        <v>21</v>
      </c>
      <c r="D11" s="20">
        <v>1031.1428571428571</v>
      </c>
      <c r="E11" s="21">
        <v>0.81128470270877817</v>
      </c>
      <c r="F11" s="17">
        <v>26157223</v>
      </c>
      <c r="G11" s="16">
        <v>0.81477299777402568</v>
      </c>
      <c r="H11" s="18">
        <v>3623.8879190911612</v>
      </c>
      <c r="I11" s="16">
        <v>1.0042997175388619</v>
      </c>
    </row>
    <row r="12" spans="2:9" x14ac:dyDescent="0.7">
      <c r="B12" s="19" t="s">
        <v>22</v>
      </c>
      <c r="C12" s="6" t="s">
        <v>23</v>
      </c>
      <c r="D12" s="20">
        <v>973.28571428571433</v>
      </c>
      <c r="E12" s="21">
        <v>0.7657637405867147</v>
      </c>
      <c r="F12" s="17">
        <v>28576425</v>
      </c>
      <c r="G12" s="16">
        <v>0.89012887426599563</v>
      </c>
      <c r="H12" s="18">
        <v>4194.3967415235575</v>
      </c>
      <c r="I12" s="16">
        <v>1.1624066629010072</v>
      </c>
    </row>
    <row r="13" spans="2:9" x14ac:dyDescent="0.7">
      <c r="B13" s="19" t="s">
        <v>24</v>
      </c>
      <c r="C13" s="6" t="s">
        <v>25</v>
      </c>
      <c r="D13" s="20">
        <v>990.85714285714289</v>
      </c>
      <c r="E13" s="21">
        <v>0.77958862537934137</v>
      </c>
      <c r="F13" s="17">
        <v>26279513</v>
      </c>
      <c r="G13" s="16">
        <v>0.81858221673804887</v>
      </c>
      <c r="H13" s="18">
        <v>3788.8571222606688</v>
      </c>
      <c r="I13" s="16">
        <v>1.050018163540718</v>
      </c>
    </row>
    <row r="14" spans="2:9" x14ac:dyDescent="0.7">
      <c r="B14" s="19" t="s">
        <v>26</v>
      </c>
      <c r="C14" s="6" t="s">
        <v>27</v>
      </c>
      <c r="D14" s="20">
        <v>1036.8571428571429</v>
      </c>
      <c r="E14" s="21">
        <v>0.81578060020231546</v>
      </c>
      <c r="F14" s="17">
        <v>30601178</v>
      </c>
      <c r="G14" s="16">
        <v>0.9531980338461985</v>
      </c>
      <c r="H14" s="18">
        <v>4216.1997795535963</v>
      </c>
      <c r="I14" s="16">
        <v>1.1684490089734951</v>
      </c>
    </row>
    <row r="15" spans="2:9" x14ac:dyDescent="0.7">
      <c r="B15" s="19" t="s">
        <v>28</v>
      </c>
      <c r="C15" s="6" t="s">
        <v>29</v>
      </c>
      <c r="D15" s="20">
        <v>1017.1428571428571</v>
      </c>
      <c r="E15" s="21">
        <v>0.80026975384961219</v>
      </c>
      <c r="F15" s="17">
        <v>27128818</v>
      </c>
      <c r="G15" s="16">
        <v>0.84503727203480072</v>
      </c>
      <c r="H15" s="18">
        <v>3810.2272471910114</v>
      </c>
      <c r="I15" s="16">
        <v>1.0559405350131492</v>
      </c>
    </row>
    <row r="16" spans="2:9" x14ac:dyDescent="0.7">
      <c r="B16" s="19" t="s">
        <v>30</v>
      </c>
      <c r="C16" s="6" t="s">
        <v>31</v>
      </c>
      <c r="D16" s="20">
        <v>982.57142857142856</v>
      </c>
      <c r="E16" s="21">
        <v>0.77306957401371246</v>
      </c>
      <c r="F16" s="17">
        <v>22457842</v>
      </c>
      <c r="G16" s="16">
        <v>0.6995407444389421</v>
      </c>
      <c r="H16" s="18">
        <v>3265.1703983716197</v>
      </c>
      <c r="I16" s="16">
        <v>0.90488717698070198</v>
      </c>
    </row>
    <row r="17" spans="2:17" x14ac:dyDescent="0.7">
      <c r="B17" s="19" t="s">
        <v>32</v>
      </c>
      <c r="C17" s="6" t="s">
        <v>33</v>
      </c>
      <c r="D17" s="20">
        <v>1027.5714285714287</v>
      </c>
      <c r="E17" s="21">
        <v>0.8084747667753176</v>
      </c>
      <c r="F17" s="17">
        <v>24434675</v>
      </c>
      <c r="G17" s="16">
        <v>0.76111724090068889</v>
      </c>
      <c r="H17" s="18">
        <v>3397.0075072987624</v>
      </c>
      <c r="I17" s="16">
        <v>0.94142361911489336</v>
      </c>
    </row>
    <row r="18" spans="2:17" x14ac:dyDescent="0.7">
      <c r="B18" s="19" t="s">
        <v>34</v>
      </c>
      <c r="C18" s="6" t="s">
        <v>35</v>
      </c>
      <c r="D18" s="20">
        <v>1027.8571428571429</v>
      </c>
      <c r="E18" s="21">
        <v>0.80869956164999446</v>
      </c>
      <c r="F18" s="17">
        <v>24234791</v>
      </c>
      <c r="G18" s="16">
        <v>0.75489104151067477</v>
      </c>
      <c r="H18" s="18">
        <v>3368.282279360667</v>
      </c>
      <c r="I18" s="16">
        <v>0.93346290428359591</v>
      </c>
    </row>
    <row r="19" spans="2:17" x14ac:dyDescent="0.7">
      <c r="B19" s="19" t="s">
        <v>36</v>
      </c>
      <c r="C19" s="6" t="s">
        <v>37</v>
      </c>
      <c r="D19" s="20">
        <v>1142</v>
      </c>
      <c r="E19" s="21">
        <v>0.89850511408339895</v>
      </c>
      <c r="F19" s="17">
        <v>28705986</v>
      </c>
      <c r="G19" s="16">
        <v>0.89416457807005012</v>
      </c>
      <c r="H19" s="18">
        <v>3590.9414560920691</v>
      </c>
      <c r="I19" s="16">
        <v>0.99516915825484564</v>
      </c>
    </row>
    <row r="20" spans="2:17" x14ac:dyDescent="0.7">
      <c r="B20" s="19" t="s">
        <v>38</v>
      </c>
      <c r="C20" s="6" t="s">
        <v>39</v>
      </c>
      <c r="D20" s="20">
        <v>1148.1428571428571</v>
      </c>
      <c r="E20" s="21">
        <v>0.90333820388895125</v>
      </c>
      <c r="F20" s="17">
        <v>29527765</v>
      </c>
      <c r="G20" s="16">
        <v>0.91976222424746512</v>
      </c>
      <c r="H20" s="18">
        <v>3673.9784745551824</v>
      </c>
      <c r="I20" s="16">
        <v>1.0181814743224706</v>
      </c>
    </row>
    <row r="21" spans="2:17" x14ac:dyDescent="0.7">
      <c r="B21" s="19" t="s">
        <v>40</v>
      </c>
      <c r="C21" s="6" t="s">
        <v>41</v>
      </c>
      <c r="D21" s="20">
        <v>1218.8571428571429</v>
      </c>
      <c r="E21" s="21">
        <v>0.9589749353714736</v>
      </c>
      <c r="F21" s="17">
        <v>30453720</v>
      </c>
      <c r="G21" s="16">
        <v>0.94860485525435168</v>
      </c>
      <c r="H21" s="18">
        <v>3569.3530239099855</v>
      </c>
      <c r="I21" s="16">
        <v>0.9891862865914165</v>
      </c>
    </row>
    <row r="22" spans="2:17" x14ac:dyDescent="0.7">
      <c r="B22" s="19" t="s">
        <v>42</v>
      </c>
      <c r="C22" s="6" t="s">
        <v>43</v>
      </c>
      <c r="D22" s="20">
        <v>1205.8571428571429</v>
      </c>
      <c r="E22" s="21">
        <v>0.94874676857367657</v>
      </c>
      <c r="F22" s="17">
        <v>28120227</v>
      </c>
      <c r="G22" s="16">
        <v>0.87591873383791907</v>
      </c>
      <c r="H22" s="18">
        <v>3331.3857362871699</v>
      </c>
      <c r="I22" s="16">
        <v>0.92323764660063579</v>
      </c>
    </row>
    <row r="23" spans="2:17" x14ac:dyDescent="0.7">
      <c r="B23" s="19" t="s">
        <v>44</v>
      </c>
      <c r="C23" s="6" t="s">
        <v>45</v>
      </c>
      <c r="D23" s="20">
        <v>1229</v>
      </c>
      <c r="E23" s="21">
        <v>0.96695515342250193</v>
      </c>
      <c r="F23" s="17">
        <v>28726888</v>
      </c>
      <c r="G23" s="16">
        <v>0.89481565579338007</v>
      </c>
      <c r="H23" s="18">
        <v>3339.1709868650469</v>
      </c>
      <c r="I23" s="16">
        <v>0.92539519813945148</v>
      </c>
    </row>
    <row r="24" spans="2:17" x14ac:dyDescent="0.7">
      <c r="B24" s="19" t="s">
        <v>46</v>
      </c>
      <c r="C24" s="6" t="s">
        <v>47</v>
      </c>
      <c r="D24" s="20">
        <v>1299</v>
      </c>
      <c r="E24" s="21">
        <v>1.022029897718332</v>
      </c>
      <c r="F24" s="17">
        <v>30899869</v>
      </c>
      <c r="G24" s="16">
        <v>0.96250197874425292</v>
      </c>
      <c r="H24" s="18">
        <v>3398.2040030792919</v>
      </c>
      <c r="I24" s="16">
        <v>0.9417552078398348</v>
      </c>
    </row>
    <row r="25" spans="2:17" x14ac:dyDescent="0.7">
      <c r="B25" s="19" t="s">
        <v>48</v>
      </c>
      <c r="C25" s="6" t="s">
        <v>49</v>
      </c>
      <c r="D25" s="20">
        <v>1337</v>
      </c>
      <c r="E25" s="21">
        <v>1.0519276160503541</v>
      </c>
      <c r="F25" s="17">
        <v>30123969</v>
      </c>
      <c r="G25" s="16">
        <v>0.93833342044688062</v>
      </c>
      <c r="H25" s="18">
        <v>3218.7166363927768</v>
      </c>
      <c r="I25" s="16">
        <v>0.89201329647568073</v>
      </c>
    </row>
    <row r="26" spans="2:17" x14ac:dyDescent="0.7">
      <c r="B26" s="19" t="s">
        <v>50</v>
      </c>
      <c r="C26" s="6" t="s">
        <v>51</v>
      </c>
      <c r="D26" s="20">
        <v>1376.2857142857144</v>
      </c>
      <c r="E26" s="21">
        <v>1.082836911318422</v>
      </c>
      <c r="F26" s="17">
        <v>34366908.167686418</v>
      </c>
      <c r="G26" s="16">
        <v>1.0704970016125377</v>
      </c>
      <c r="H26" s="18">
        <v>3567.2522490851579</v>
      </c>
      <c r="I26" s="16">
        <v>0.98860409210574485</v>
      </c>
    </row>
    <row r="27" spans="2:17" x14ac:dyDescent="0.7">
      <c r="B27" s="19" t="s">
        <v>52</v>
      </c>
      <c r="C27" s="6" t="s">
        <v>53</v>
      </c>
      <c r="D27" s="20">
        <v>1225.8571428571429</v>
      </c>
      <c r="E27" s="21">
        <v>0.96448240980105659</v>
      </c>
      <c r="F27" s="17">
        <v>27815378.530796159</v>
      </c>
      <c r="G27" s="16">
        <v>0.86642298954120855</v>
      </c>
      <c r="H27" s="18">
        <v>3241.5078115366691</v>
      </c>
      <c r="I27" s="16">
        <v>0.89832948816549718</v>
      </c>
    </row>
    <row r="28" spans="2:17" x14ac:dyDescent="0.7">
      <c r="B28" s="19" t="s">
        <v>54</v>
      </c>
      <c r="C28" s="6" t="s">
        <v>55</v>
      </c>
      <c r="D28" s="20">
        <v>1179.4285714285716</v>
      </c>
      <c r="E28" s="21">
        <v>0.92795324266606727</v>
      </c>
      <c r="F28" s="17">
        <v>26955878.435355484</v>
      </c>
      <c r="G28" s="16">
        <v>0.83965036657013625</v>
      </c>
      <c r="H28" s="18">
        <v>3265.0046554451892</v>
      </c>
      <c r="I28" s="16">
        <v>0.90484124411028366</v>
      </c>
    </row>
    <row r="29" spans="2:17" x14ac:dyDescent="0.7">
      <c r="B29" s="19" t="s">
        <v>56</v>
      </c>
      <c r="C29" s="6" t="s">
        <v>57</v>
      </c>
      <c r="D29" s="20">
        <v>1105.8571428428572</v>
      </c>
      <c r="E29" s="21">
        <v>0.87006856242553676</v>
      </c>
      <c r="F29" s="17">
        <v>25684582.799669549</v>
      </c>
      <c r="G29" s="16">
        <v>0.80005069820530772</v>
      </c>
      <c r="H29" s="18">
        <v>3317.992869138528</v>
      </c>
      <c r="I29" s="16">
        <v>0.91952603824112833</v>
      </c>
    </row>
    <row r="30" spans="2:17" x14ac:dyDescent="0.7">
      <c r="B30" s="19" t="s">
        <v>58</v>
      </c>
      <c r="C30" s="6" t="s">
        <v>59</v>
      </c>
      <c r="D30" s="20">
        <v>1094.7142857142858</v>
      </c>
      <c r="E30" s="21">
        <v>0.86130156232437904</v>
      </c>
      <c r="F30" s="17">
        <v>25684582.799669549</v>
      </c>
      <c r="G30" s="16">
        <v>0.80005069820530772</v>
      </c>
      <c r="H30" s="18">
        <v>3351.7659923880396</v>
      </c>
      <c r="I30" s="16">
        <v>0.92888569253981768</v>
      </c>
    </row>
    <row r="31" spans="2:17" x14ac:dyDescent="0.7">
      <c r="K31"/>
    </row>
    <row r="32" spans="2:17" x14ac:dyDescent="0.7">
      <c r="B32" s="3" t="s">
        <v>60</v>
      </c>
      <c r="C32" s="4"/>
      <c r="D32" s="6" t="s">
        <v>61</v>
      </c>
      <c r="E32" s="6" t="s">
        <v>4</v>
      </c>
      <c r="F32" s="6" t="s">
        <v>5</v>
      </c>
      <c r="G32" s="6" t="s">
        <v>4</v>
      </c>
      <c r="H32" s="6" t="s">
        <v>6</v>
      </c>
      <c r="I32" s="6" t="s">
        <v>4</v>
      </c>
      <c r="J32" s="3" t="s">
        <v>62</v>
      </c>
      <c r="K32" s="4"/>
      <c r="L32" s="6" t="s">
        <v>61</v>
      </c>
      <c r="M32" s="6" t="s">
        <v>4</v>
      </c>
      <c r="N32" s="6" t="s">
        <v>5</v>
      </c>
      <c r="O32" s="6" t="s">
        <v>4</v>
      </c>
      <c r="P32" s="6" t="s">
        <v>6</v>
      </c>
      <c r="Q32" s="6" t="s">
        <v>4</v>
      </c>
    </row>
    <row r="33" spans="2:17" ht="21.6" thickBot="1" x14ac:dyDescent="0.75">
      <c r="B33" s="7" t="s">
        <v>7</v>
      </c>
      <c r="C33" s="8"/>
      <c r="D33" s="9">
        <v>457</v>
      </c>
      <c r="E33" s="10"/>
      <c r="F33" s="11">
        <v>19852994</v>
      </c>
      <c r="G33" s="10"/>
      <c r="H33" s="12">
        <v>6206</v>
      </c>
      <c r="I33" s="10"/>
      <c r="J33" s="7" t="s">
        <v>7</v>
      </c>
      <c r="K33" s="8"/>
      <c r="L33" s="22">
        <v>814</v>
      </c>
      <c r="M33" s="10"/>
      <c r="N33" s="23">
        <v>12250700</v>
      </c>
      <c r="O33" s="10"/>
      <c r="P33" s="12">
        <v>2150</v>
      </c>
      <c r="Q33" s="10"/>
    </row>
    <row r="34" spans="2:17" ht="21.6" thickTop="1" x14ac:dyDescent="0.7">
      <c r="B34" s="13" t="s">
        <v>8</v>
      </c>
      <c r="C34" s="14" t="s">
        <v>9</v>
      </c>
      <c r="D34" s="15">
        <v>355.57142857142856</v>
      </c>
      <c r="E34" s="16">
        <v>0.77805564238824632</v>
      </c>
      <c r="F34" s="17">
        <v>15533688</v>
      </c>
      <c r="G34" s="16">
        <v>0.7824355359196703</v>
      </c>
      <c r="H34" s="18">
        <v>6240.9353153877064</v>
      </c>
      <c r="I34" s="16">
        <v>1.0056292805974389</v>
      </c>
      <c r="J34" s="13" t="s">
        <v>8</v>
      </c>
      <c r="K34" s="14" t="s">
        <v>9</v>
      </c>
      <c r="L34" s="24">
        <v>539.14285714285711</v>
      </c>
      <c r="M34" s="16">
        <v>0.66233766233766234</v>
      </c>
      <c r="N34" s="25">
        <v>10361431</v>
      </c>
      <c r="O34" s="16">
        <v>0.8457827715967251</v>
      </c>
      <c r="P34" s="18">
        <v>2745.4772125066247</v>
      </c>
      <c r="Q34" s="16">
        <v>1.2769661453519185</v>
      </c>
    </row>
    <row r="35" spans="2:17" x14ac:dyDescent="0.7">
      <c r="B35" s="19" t="s">
        <v>10</v>
      </c>
      <c r="C35" s="6" t="s">
        <v>11</v>
      </c>
      <c r="D35" s="20">
        <v>318.42857142857144</v>
      </c>
      <c r="E35" s="16">
        <v>0.69678024382619574</v>
      </c>
      <c r="F35" s="17">
        <v>14136034</v>
      </c>
      <c r="G35" s="16">
        <v>0.71203537360662073</v>
      </c>
      <c r="H35" s="18">
        <v>6341.872588604755</v>
      </c>
      <c r="I35" s="16">
        <v>1.0218937461496544</v>
      </c>
      <c r="J35" s="19" t="s">
        <v>10</v>
      </c>
      <c r="K35" s="6" t="s">
        <v>11</v>
      </c>
      <c r="L35" s="26">
        <v>520.71428571428567</v>
      </c>
      <c r="M35" s="16">
        <v>0.6396981396981396</v>
      </c>
      <c r="N35" s="25">
        <v>8128556</v>
      </c>
      <c r="O35" s="16">
        <v>0.6635176765409323</v>
      </c>
      <c r="P35" s="18">
        <v>2230.0565157750343</v>
      </c>
      <c r="Q35" s="16">
        <v>1.0372355887325742</v>
      </c>
    </row>
    <row r="36" spans="2:17" x14ac:dyDescent="0.7">
      <c r="B36" s="19" t="s">
        <v>12</v>
      </c>
      <c r="C36" s="6" t="s">
        <v>13</v>
      </c>
      <c r="D36" s="20">
        <v>312.57142857142856</v>
      </c>
      <c r="E36" s="16">
        <v>0.68396373866833382</v>
      </c>
      <c r="F36" s="17">
        <v>14105950</v>
      </c>
      <c r="G36" s="16">
        <v>0.71052003541632058</v>
      </c>
      <c r="H36" s="18">
        <v>6446.9606946983549</v>
      </c>
      <c r="I36" s="16">
        <v>1.0388270536091451</v>
      </c>
      <c r="J36" s="19" t="s">
        <v>12</v>
      </c>
      <c r="K36" s="6" t="s">
        <v>13</v>
      </c>
      <c r="L36" s="26">
        <v>588.28571428571433</v>
      </c>
      <c r="M36" s="16">
        <v>0.72270972270972278</v>
      </c>
      <c r="N36" s="25">
        <v>8493026</v>
      </c>
      <c r="O36" s="16">
        <v>0.6932686295476993</v>
      </c>
      <c r="P36" s="18">
        <v>2062.415250121418</v>
      </c>
      <c r="Q36" s="16">
        <v>0.9592629070332177</v>
      </c>
    </row>
    <row r="37" spans="2:17" x14ac:dyDescent="0.7">
      <c r="B37" s="19" t="s">
        <v>14</v>
      </c>
      <c r="C37" s="6" t="s">
        <v>15</v>
      </c>
      <c r="D37" s="20">
        <v>342.28571428571428</v>
      </c>
      <c r="E37" s="16">
        <v>0.74898405751797437</v>
      </c>
      <c r="F37" s="17">
        <v>15665940</v>
      </c>
      <c r="G37" s="16">
        <v>0.7890971004171965</v>
      </c>
      <c r="H37" s="18">
        <v>6538.3722871452428</v>
      </c>
      <c r="I37" s="16">
        <v>1.0535566044384859</v>
      </c>
      <c r="J37" s="19" t="s">
        <v>14</v>
      </c>
      <c r="K37" s="6" t="s">
        <v>15</v>
      </c>
      <c r="L37" s="26">
        <v>675.14285714285711</v>
      </c>
      <c r="M37" s="16">
        <v>0.82941382941382935</v>
      </c>
      <c r="N37" s="25">
        <v>11605499</v>
      </c>
      <c r="O37" s="16">
        <v>0.94733354012423776</v>
      </c>
      <c r="P37" s="18">
        <v>2455.6705459162085</v>
      </c>
      <c r="Q37" s="16">
        <v>1.1421723469377714</v>
      </c>
    </row>
    <row r="38" spans="2:17" x14ac:dyDescent="0.7">
      <c r="B38" s="19" t="s">
        <v>16</v>
      </c>
      <c r="C38" s="6" t="s">
        <v>17</v>
      </c>
      <c r="D38" s="20">
        <v>457.28571428571428</v>
      </c>
      <c r="E38" s="16">
        <v>1.0006251953735543</v>
      </c>
      <c r="F38" s="17">
        <v>20335718</v>
      </c>
      <c r="G38" s="16">
        <v>1.0243149219709631</v>
      </c>
      <c r="H38" s="18">
        <v>6352.9265854420491</v>
      </c>
      <c r="I38" s="16">
        <v>1.0236749251437398</v>
      </c>
      <c r="J38" s="19" t="s">
        <v>16</v>
      </c>
      <c r="K38" s="6" t="s">
        <v>17</v>
      </c>
      <c r="L38" s="26">
        <v>715.85714285714289</v>
      </c>
      <c r="M38" s="16">
        <v>0.8794313794313795</v>
      </c>
      <c r="N38" s="25">
        <v>10170480</v>
      </c>
      <c r="O38" s="16">
        <v>0.83019582554466276</v>
      </c>
      <c r="P38" s="18">
        <v>2029.6308122131311</v>
      </c>
      <c r="Q38" s="16">
        <v>0.94401433126192147</v>
      </c>
    </row>
    <row r="39" spans="2:17" x14ac:dyDescent="0.7">
      <c r="B39" s="19" t="s">
        <v>18</v>
      </c>
      <c r="C39" s="6" t="s">
        <v>19</v>
      </c>
      <c r="D39" s="20">
        <v>317.57142857142856</v>
      </c>
      <c r="E39" s="16">
        <v>0.69490465770553289</v>
      </c>
      <c r="F39" s="17">
        <v>13739965</v>
      </c>
      <c r="G39" s="16">
        <v>0.69208528446641349</v>
      </c>
      <c r="H39" s="18">
        <v>6180.8209626630687</v>
      </c>
      <c r="I39" s="16">
        <v>0.99594279127667884</v>
      </c>
      <c r="J39" s="19" t="s">
        <v>18</v>
      </c>
      <c r="K39" s="6" t="s">
        <v>19</v>
      </c>
      <c r="L39" s="26">
        <v>713.71428571428567</v>
      </c>
      <c r="M39" s="16">
        <v>0.87679887679887669</v>
      </c>
      <c r="N39" s="25">
        <v>10193145</v>
      </c>
      <c r="O39" s="16">
        <v>0.83204592390638898</v>
      </c>
      <c r="P39" s="18">
        <v>2040.2612089671738</v>
      </c>
      <c r="Q39" s="16">
        <v>0.94895870184519715</v>
      </c>
    </row>
    <row r="40" spans="2:17" x14ac:dyDescent="0.7">
      <c r="B40" s="19" t="s">
        <v>20</v>
      </c>
      <c r="C40" s="6" t="s">
        <v>21</v>
      </c>
      <c r="D40" s="20">
        <v>343.42857142857144</v>
      </c>
      <c r="E40" s="16">
        <v>0.75148483901219132</v>
      </c>
      <c r="F40" s="17">
        <v>14076282</v>
      </c>
      <c r="G40" s="16">
        <v>0.70902565124434125</v>
      </c>
      <c r="H40" s="18">
        <v>5855.3585690515802</v>
      </c>
      <c r="I40" s="16">
        <v>0.94349960829061874</v>
      </c>
      <c r="J40" s="19" t="s">
        <v>20</v>
      </c>
      <c r="K40" s="6" t="s">
        <v>21</v>
      </c>
      <c r="L40" s="26">
        <v>683.71428571428567</v>
      </c>
      <c r="M40" s="16">
        <v>0.83994383994383992</v>
      </c>
      <c r="N40" s="25">
        <v>12080941</v>
      </c>
      <c r="O40" s="16">
        <v>0.98614291428244916</v>
      </c>
      <c r="P40" s="18">
        <v>2524.2250313414129</v>
      </c>
      <c r="Q40" s="16">
        <v>1.174058154112285</v>
      </c>
    </row>
    <row r="41" spans="2:17" x14ac:dyDescent="0.7">
      <c r="B41" s="19" t="s">
        <v>22</v>
      </c>
      <c r="C41" s="6" t="s">
        <v>23</v>
      </c>
      <c r="D41" s="20">
        <v>362.71428571428572</v>
      </c>
      <c r="E41" s="16">
        <v>0.79368552672710224</v>
      </c>
      <c r="F41" s="17">
        <v>16139350</v>
      </c>
      <c r="G41" s="16">
        <v>0.81294287400681231</v>
      </c>
      <c r="H41" s="18">
        <v>6356.5773926742813</v>
      </c>
      <c r="I41" s="16">
        <v>1.0242631957257946</v>
      </c>
      <c r="J41" s="19" t="s">
        <v>22</v>
      </c>
      <c r="K41" s="6" t="s">
        <v>23</v>
      </c>
      <c r="L41" s="26">
        <v>606.42857142857144</v>
      </c>
      <c r="M41" s="16">
        <v>0.74499824499824496</v>
      </c>
      <c r="N41" s="25">
        <v>12437075</v>
      </c>
      <c r="O41" s="16">
        <v>1.015213416376207</v>
      </c>
      <c r="P41" s="18">
        <v>2929.8174322732625</v>
      </c>
      <c r="Q41" s="16">
        <v>1.3627057824526803</v>
      </c>
    </row>
    <row r="42" spans="2:17" x14ac:dyDescent="0.7">
      <c r="B42" s="19" t="s">
        <v>24</v>
      </c>
      <c r="C42" s="6" t="s">
        <v>25</v>
      </c>
      <c r="D42" s="20">
        <v>351.57142857142856</v>
      </c>
      <c r="E42" s="16">
        <v>0.76930290715848704</v>
      </c>
      <c r="F42" s="17">
        <v>16243869</v>
      </c>
      <c r="G42" s="16">
        <v>0.81820752073969294</v>
      </c>
      <c r="H42" s="18">
        <v>6600.5156440471346</v>
      </c>
      <c r="I42" s="16">
        <v>1.0635700361016975</v>
      </c>
      <c r="J42" s="19" t="s">
        <v>24</v>
      </c>
      <c r="K42" s="6" t="s">
        <v>25</v>
      </c>
      <c r="L42" s="26">
        <v>612.28571428571433</v>
      </c>
      <c r="M42" s="16">
        <v>0.75219375219375229</v>
      </c>
      <c r="N42" s="25">
        <v>10035644</v>
      </c>
      <c r="O42" s="16">
        <v>0.81918943407315503</v>
      </c>
      <c r="P42" s="18">
        <v>2341.4941670555295</v>
      </c>
      <c r="Q42" s="16">
        <v>1.0890670544444323</v>
      </c>
    </row>
    <row r="43" spans="2:17" x14ac:dyDescent="0.7">
      <c r="B43" s="19" t="s">
        <v>26</v>
      </c>
      <c r="C43" s="6" t="s">
        <v>27</v>
      </c>
      <c r="D43" s="20">
        <v>366.28571428571428</v>
      </c>
      <c r="E43" s="16">
        <v>0.80150046889653015</v>
      </c>
      <c r="F43" s="17">
        <v>15840462</v>
      </c>
      <c r="G43" s="16">
        <v>0.79788781480516235</v>
      </c>
      <c r="H43" s="18">
        <v>6178.0273010920437</v>
      </c>
      <c r="I43" s="16">
        <v>0.99549263633452201</v>
      </c>
      <c r="J43" s="19" t="s">
        <v>26</v>
      </c>
      <c r="K43" s="6" t="s">
        <v>27</v>
      </c>
      <c r="L43" s="26">
        <v>648</v>
      </c>
      <c r="M43" s="16">
        <v>0.7960687960687961</v>
      </c>
      <c r="N43" s="25">
        <v>14760716</v>
      </c>
      <c r="O43" s="16">
        <v>1.204887557445697</v>
      </c>
      <c r="P43" s="18">
        <v>3254.1261022927688</v>
      </c>
      <c r="Q43" s="16">
        <v>1.513547024322218</v>
      </c>
    </row>
    <row r="44" spans="2:17" x14ac:dyDescent="0.7">
      <c r="B44" s="19" t="s">
        <v>28</v>
      </c>
      <c r="C44" s="6" t="s">
        <v>29</v>
      </c>
      <c r="D44" s="20">
        <v>351.57142857142856</v>
      </c>
      <c r="E44" s="16">
        <v>0.76930290715848704</v>
      </c>
      <c r="F44" s="17">
        <v>14713096</v>
      </c>
      <c r="G44" s="16">
        <v>0.7411021229342033</v>
      </c>
      <c r="H44" s="18">
        <v>5978.5030475416506</v>
      </c>
      <c r="I44" s="16">
        <v>0.96334241823101041</v>
      </c>
      <c r="J44" s="19" t="s">
        <v>28</v>
      </c>
      <c r="K44" s="6" t="s">
        <v>29</v>
      </c>
      <c r="L44" s="26">
        <v>664.85714285714289</v>
      </c>
      <c r="M44" s="16">
        <v>0.8167778167778168</v>
      </c>
      <c r="N44" s="25">
        <v>12415722</v>
      </c>
      <c r="O44" s="16">
        <v>1.0134704139355302</v>
      </c>
      <c r="P44" s="18">
        <v>2667.7529007305543</v>
      </c>
      <c r="Q44" s="16">
        <v>1.2408153026653741</v>
      </c>
    </row>
    <row r="45" spans="2:17" x14ac:dyDescent="0.7">
      <c r="B45" s="27" t="s">
        <v>30</v>
      </c>
      <c r="C45" s="28" t="s">
        <v>31</v>
      </c>
      <c r="D45" s="29">
        <v>324.28571428571428</v>
      </c>
      <c r="E45" s="30">
        <v>0.70959674898405745</v>
      </c>
      <c r="F45" s="31">
        <v>12858417</v>
      </c>
      <c r="G45" s="30">
        <v>0.64768150335410368</v>
      </c>
      <c r="H45" s="32">
        <v>5664.500881057269</v>
      </c>
      <c r="I45" s="30">
        <v>0.91274587190739109</v>
      </c>
      <c r="J45" s="19" t="s">
        <v>30</v>
      </c>
      <c r="K45" s="6" t="s">
        <v>31</v>
      </c>
      <c r="L45" s="26">
        <v>657.85714285714289</v>
      </c>
      <c r="M45" s="16">
        <v>0.80817830817830827</v>
      </c>
      <c r="N45" s="25">
        <v>9599425</v>
      </c>
      <c r="O45" s="16">
        <v>0.78358175451198708</v>
      </c>
      <c r="P45" s="18">
        <v>2084.5656894679696</v>
      </c>
      <c r="Q45" s="16">
        <v>0.96956543696184638</v>
      </c>
    </row>
    <row r="46" spans="2:17" x14ac:dyDescent="0.7">
      <c r="B46" s="27" t="s">
        <v>32</v>
      </c>
      <c r="C46" s="28" t="s">
        <v>33</v>
      </c>
      <c r="D46" s="29">
        <v>331</v>
      </c>
      <c r="E46" s="30">
        <v>0.72428884026258211</v>
      </c>
      <c r="F46" s="31">
        <v>13128158</v>
      </c>
      <c r="G46" s="30">
        <v>0.66126842127691166</v>
      </c>
      <c r="H46" s="32">
        <v>5666.015537332758</v>
      </c>
      <c r="I46" s="30">
        <v>0.9129899351164612</v>
      </c>
      <c r="J46" s="19" t="s">
        <v>32</v>
      </c>
      <c r="K46" s="6" t="s">
        <v>33</v>
      </c>
      <c r="L46" s="26">
        <v>696.57142857142856</v>
      </c>
      <c r="M46" s="16">
        <v>0.85573885573885566</v>
      </c>
      <c r="N46" s="25">
        <v>11306517</v>
      </c>
      <c r="O46" s="16">
        <v>0.92292824083521763</v>
      </c>
      <c r="P46" s="18">
        <v>2318.8098851517639</v>
      </c>
      <c r="Q46" s="16">
        <v>1.0785162256519831</v>
      </c>
    </row>
    <row r="47" spans="2:17" x14ac:dyDescent="0.7">
      <c r="B47" s="27" t="s">
        <v>34</v>
      </c>
      <c r="C47" s="28" t="s">
        <v>35</v>
      </c>
      <c r="D47" s="29">
        <v>301.28571428571428</v>
      </c>
      <c r="E47" s="30">
        <v>0.65926852141294157</v>
      </c>
      <c r="F47" s="31">
        <v>13311990</v>
      </c>
      <c r="G47" s="30">
        <v>0.67052808256527963</v>
      </c>
      <c r="H47" s="32">
        <v>6311.99146514936</v>
      </c>
      <c r="I47" s="30">
        <v>1.0170788696663486</v>
      </c>
      <c r="J47" s="19" t="s">
        <v>34</v>
      </c>
      <c r="K47" s="6" t="s">
        <v>35</v>
      </c>
      <c r="L47" s="26">
        <v>726.57142857142856</v>
      </c>
      <c r="M47" s="16">
        <v>0.89259389259389255</v>
      </c>
      <c r="N47" s="25">
        <v>10922801</v>
      </c>
      <c r="O47" s="16">
        <v>0.89160627555976391</v>
      </c>
      <c r="P47" s="18">
        <v>2147.6211167911915</v>
      </c>
      <c r="Q47" s="16">
        <v>0.99889354269357744</v>
      </c>
    </row>
    <row r="48" spans="2:17" x14ac:dyDescent="0.7">
      <c r="B48" s="19" t="s">
        <v>36</v>
      </c>
      <c r="C48" s="6" t="s">
        <v>37</v>
      </c>
      <c r="D48" s="20">
        <v>388.71428571428572</v>
      </c>
      <c r="E48" s="16">
        <v>0.85057830572053772</v>
      </c>
      <c r="F48" s="17">
        <v>17173033</v>
      </c>
      <c r="G48" s="16">
        <v>0.86500973102596013</v>
      </c>
      <c r="H48" s="18">
        <v>6311.2947445791988</v>
      </c>
      <c r="I48" s="16">
        <v>1.0169666040250078</v>
      </c>
      <c r="J48" s="19" t="s">
        <v>36</v>
      </c>
      <c r="K48" s="6" t="s">
        <v>37</v>
      </c>
      <c r="L48" s="26">
        <v>753.28571428571433</v>
      </c>
      <c r="M48" s="16">
        <v>0.92541242541242552</v>
      </c>
      <c r="N48" s="25">
        <v>11532953</v>
      </c>
      <c r="O48" s="16">
        <v>0.94141175606291883</v>
      </c>
      <c r="P48" s="18">
        <v>2187.1710601175801</v>
      </c>
      <c r="Q48" s="16">
        <v>1.0172888651709675</v>
      </c>
    </row>
    <row r="49" spans="2:17" x14ac:dyDescent="0.7">
      <c r="B49" s="19" t="s">
        <v>38</v>
      </c>
      <c r="C49" s="6" t="s">
        <v>39</v>
      </c>
      <c r="D49" s="20">
        <v>370.28571428571428</v>
      </c>
      <c r="E49" s="16">
        <v>0.81025320412628943</v>
      </c>
      <c r="F49" s="17">
        <v>17172000</v>
      </c>
      <c r="G49" s="16">
        <v>0.86495769857181237</v>
      </c>
      <c r="H49" s="18">
        <v>6625.0000000000009</v>
      </c>
      <c r="I49" s="16">
        <v>1.0675153077666775</v>
      </c>
      <c r="J49" s="19" t="s">
        <v>38</v>
      </c>
      <c r="K49" s="6" t="s">
        <v>39</v>
      </c>
      <c r="L49" s="26">
        <v>777.85714285714289</v>
      </c>
      <c r="M49" s="16">
        <v>0.95559845559845569</v>
      </c>
      <c r="N49" s="25">
        <v>12355765</v>
      </c>
      <c r="O49" s="16">
        <v>1.0085762446227562</v>
      </c>
      <c r="P49" s="18">
        <v>2269.1946740128556</v>
      </c>
      <c r="Q49" s="16">
        <v>1.0554393832617932</v>
      </c>
    </row>
    <row r="50" spans="2:17" x14ac:dyDescent="0.7">
      <c r="B50" s="19" t="s">
        <v>40</v>
      </c>
      <c r="C50" s="6" t="s">
        <v>41</v>
      </c>
      <c r="D50" s="20">
        <v>368.14285714285717</v>
      </c>
      <c r="E50" s="16">
        <v>0.80556423882463279</v>
      </c>
      <c r="F50" s="17">
        <v>17437760</v>
      </c>
      <c r="G50" s="16">
        <v>0.87834409258371815</v>
      </c>
      <c r="H50" s="18">
        <v>6766.6899495537436</v>
      </c>
      <c r="I50" s="16">
        <v>1.0903464308014412</v>
      </c>
      <c r="J50" s="19" t="s">
        <v>40</v>
      </c>
      <c r="K50" s="6" t="s">
        <v>41</v>
      </c>
      <c r="L50" s="26">
        <v>850.71428571428567</v>
      </c>
      <c r="M50" s="16">
        <v>1.0451035451035451</v>
      </c>
      <c r="N50" s="25">
        <v>13015960</v>
      </c>
      <c r="O50" s="16">
        <v>1.0624666345596578</v>
      </c>
      <c r="P50" s="18">
        <v>2185.7195633921074</v>
      </c>
      <c r="Q50" s="16">
        <v>1.0166137504149337</v>
      </c>
    </row>
    <row r="51" spans="2:17" x14ac:dyDescent="0.7">
      <c r="B51" s="19" t="s">
        <v>42</v>
      </c>
      <c r="C51" s="6" t="s">
        <v>43</v>
      </c>
      <c r="D51" s="20">
        <v>333.71428571428572</v>
      </c>
      <c r="E51" s="16">
        <v>0.73022819631134728</v>
      </c>
      <c r="F51" s="17">
        <v>14802329</v>
      </c>
      <c r="G51" s="16">
        <v>0.74559681023426494</v>
      </c>
      <c r="H51" s="18">
        <v>6336.6134417808216</v>
      </c>
      <c r="I51" s="16">
        <v>1.0210463167548858</v>
      </c>
      <c r="J51" s="19" t="s">
        <v>42</v>
      </c>
      <c r="K51" s="6" t="s">
        <v>43</v>
      </c>
      <c r="L51" s="26">
        <v>872.14285714285711</v>
      </c>
      <c r="M51" s="16">
        <v>1.0714285714285714</v>
      </c>
      <c r="N51" s="25">
        <v>13317898</v>
      </c>
      <c r="O51" s="16">
        <v>1.0871132261829937</v>
      </c>
      <c r="P51" s="18">
        <v>2181.4738738738738</v>
      </c>
      <c r="Q51" s="16">
        <v>1.0146390111041272</v>
      </c>
    </row>
    <row r="52" spans="2:17" x14ac:dyDescent="0.7">
      <c r="B52" s="19" t="s">
        <v>44</v>
      </c>
      <c r="C52" s="6" t="s">
        <v>45</v>
      </c>
      <c r="D52" s="20">
        <v>368</v>
      </c>
      <c r="E52" s="16">
        <v>0.80525164113785563</v>
      </c>
      <c r="F52" s="17">
        <v>15674884</v>
      </c>
      <c r="G52" s="16">
        <v>0.78954761181109512</v>
      </c>
      <c r="H52" s="18">
        <v>6084.9704968944097</v>
      </c>
      <c r="I52" s="16">
        <v>0.98049798531975663</v>
      </c>
      <c r="J52" s="19" t="s">
        <v>44</v>
      </c>
      <c r="K52" s="6" t="s">
        <v>45</v>
      </c>
      <c r="L52" s="26">
        <v>861</v>
      </c>
      <c r="M52" s="16">
        <v>1.0577395577395576</v>
      </c>
      <c r="N52" s="25">
        <v>13052004</v>
      </c>
      <c r="O52" s="16">
        <v>1.0654088337809269</v>
      </c>
      <c r="P52" s="18">
        <v>2165.5888501742161</v>
      </c>
      <c r="Q52" s="16">
        <v>1.0072506279880076</v>
      </c>
    </row>
    <row r="53" spans="2:17" x14ac:dyDescent="0.7">
      <c r="B53" s="19" t="s">
        <v>46</v>
      </c>
      <c r="C53" s="6" t="s">
        <v>47</v>
      </c>
      <c r="D53" s="20">
        <v>394</v>
      </c>
      <c r="E53" s="16">
        <v>0.862144420131291</v>
      </c>
      <c r="F53" s="17">
        <v>17883401</v>
      </c>
      <c r="G53" s="16">
        <v>0.90079113508017983</v>
      </c>
      <c r="H53" s="18">
        <v>6484.1918056562727</v>
      </c>
      <c r="I53" s="16">
        <v>1.0448262658163507</v>
      </c>
      <c r="J53" s="19" t="s">
        <v>46</v>
      </c>
      <c r="K53" s="6" t="s">
        <v>47</v>
      </c>
      <c r="L53" s="26">
        <v>905</v>
      </c>
      <c r="M53" s="16">
        <v>1.1117936117936118</v>
      </c>
      <c r="N53" s="25">
        <v>13016468</v>
      </c>
      <c r="O53" s="16">
        <v>1.062508101577869</v>
      </c>
      <c r="P53" s="18">
        <v>2054.6910812943961</v>
      </c>
      <c r="Q53" s="16">
        <v>0.9556702703694866</v>
      </c>
    </row>
    <row r="54" spans="2:17" x14ac:dyDescent="0.7">
      <c r="B54" s="19" t="s">
        <v>48</v>
      </c>
      <c r="C54" s="6" t="s">
        <v>49</v>
      </c>
      <c r="D54" s="26">
        <v>412</v>
      </c>
      <c r="E54" s="16">
        <v>0.90153172866520792</v>
      </c>
      <c r="F54" s="17">
        <v>17385978</v>
      </c>
      <c r="G54" s="16">
        <v>0.87573582100513403</v>
      </c>
      <c r="H54" s="18">
        <v>6028.4251040221907</v>
      </c>
      <c r="I54" s="16">
        <v>0.97138657815375296</v>
      </c>
      <c r="J54" s="19" t="s">
        <v>48</v>
      </c>
      <c r="K54" s="6" t="s">
        <v>49</v>
      </c>
      <c r="L54" s="26">
        <v>925</v>
      </c>
      <c r="M54" s="16">
        <v>1.1363636363636365</v>
      </c>
      <c r="N54" s="25">
        <v>12737991</v>
      </c>
      <c r="O54" s="16">
        <v>1.0397765841951889</v>
      </c>
      <c r="P54" s="18">
        <v>1967.2572972972973</v>
      </c>
      <c r="Q54" s="16">
        <v>0.91500339409176623</v>
      </c>
    </row>
    <row r="55" spans="2:17" x14ac:dyDescent="0.7">
      <c r="B55" s="19" t="s">
        <v>50</v>
      </c>
      <c r="C55" s="6" t="s">
        <v>51</v>
      </c>
      <c r="D55" s="20">
        <v>377.14285714285717</v>
      </c>
      <c r="E55" s="16">
        <v>0.82525789309159114</v>
      </c>
      <c r="F55" s="17">
        <v>17280979.614002209</v>
      </c>
      <c r="G55" s="16">
        <v>0.87044702748624259</v>
      </c>
      <c r="H55" s="18">
        <v>6545.8256113644729</v>
      </c>
      <c r="I55" s="16">
        <v>1.0547575912607916</v>
      </c>
      <c r="J55" s="19" t="s">
        <v>50</v>
      </c>
      <c r="K55" s="6" t="s">
        <v>51</v>
      </c>
      <c r="L55" s="26">
        <v>999.14285714285722</v>
      </c>
      <c r="M55" s="16">
        <v>1.2274482274482275</v>
      </c>
      <c r="N55" s="25">
        <v>17085928.553684212</v>
      </c>
      <c r="O55" s="16">
        <v>1.3946899812814135</v>
      </c>
      <c r="P55" s="18">
        <v>2442.9408855710913</v>
      </c>
      <c r="Q55" s="16">
        <v>1.1362515746842285</v>
      </c>
    </row>
    <row r="56" spans="2:17" x14ac:dyDescent="0.7">
      <c r="B56" s="19" t="s">
        <v>52</v>
      </c>
      <c r="C56" s="6" t="s">
        <v>53</v>
      </c>
      <c r="D56" s="20">
        <v>358</v>
      </c>
      <c r="E56" s="16">
        <v>0.78336980306345738</v>
      </c>
      <c r="F56" s="17">
        <v>15610340.530796165</v>
      </c>
      <c r="G56" s="16">
        <v>0.78629654201256316</v>
      </c>
      <c r="H56" s="18">
        <v>6229.1861655212151</v>
      </c>
      <c r="I56" s="16">
        <v>1.0037360885467637</v>
      </c>
      <c r="J56" s="19" t="s">
        <v>52</v>
      </c>
      <c r="K56" s="6" t="s">
        <v>53</v>
      </c>
      <c r="L56" s="26">
        <v>867.85714285714289</v>
      </c>
      <c r="M56" s="16">
        <v>1.0661635661635662</v>
      </c>
      <c r="N56" s="25">
        <v>12205038</v>
      </c>
      <c r="O56" s="16">
        <v>0.99627270278433067</v>
      </c>
      <c r="P56" s="18">
        <v>2009.0597530864195</v>
      </c>
      <c r="Q56" s="16">
        <v>0.93444639678438113</v>
      </c>
    </row>
    <row r="57" spans="2:17" x14ac:dyDescent="0.7">
      <c r="B57" s="19" t="s">
        <v>54</v>
      </c>
      <c r="C57" s="6" t="s">
        <v>55</v>
      </c>
      <c r="D57" s="20">
        <v>344.42857142857144</v>
      </c>
      <c r="E57" s="16">
        <v>0.75367302281963122</v>
      </c>
      <c r="F57" s="17">
        <v>15179733.382723909</v>
      </c>
      <c r="G57" s="16">
        <v>0.76460675819092616</v>
      </c>
      <c r="H57" s="18">
        <v>6296.0320956963533</v>
      </c>
      <c r="I57" s="16">
        <v>1.0145072664673467</v>
      </c>
      <c r="J57" s="19" t="s">
        <v>54</v>
      </c>
      <c r="K57" s="6" t="s">
        <v>55</v>
      </c>
      <c r="L57" s="26">
        <v>835</v>
      </c>
      <c r="M57" s="16">
        <v>1.0257985257985258</v>
      </c>
      <c r="N57" s="25">
        <v>11776145.052631581</v>
      </c>
      <c r="O57" s="16">
        <v>0.96126303416389114</v>
      </c>
      <c r="P57" s="18">
        <v>2014.7382468146418</v>
      </c>
      <c r="Q57" s="16">
        <v>0.93708755665797294</v>
      </c>
    </row>
    <row r="58" spans="2:17" x14ac:dyDescent="0.7">
      <c r="B58" s="19" t="s">
        <v>63</v>
      </c>
      <c r="C58" s="6" t="s">
        <v>64</v>
      </c>
      <c r="D58" s="20">
        <v>310.14285714285717</v>
      </c>
      <c r="E58" s="16">
        <v>0.67864957799312287</v>
      </c>
      <c r="F58" s="17">
        <v>13387697.58914323</v>
      </c>
      <c r="G58" s="16">
        <v>0.67434149172377877</v>
      </c>
      <c r="H58" s="18">
        <v>6166.6041405542273</v>
      </c>
      <c r="I58" s="16">
        <v>0.99365197237419067</v>
      </c>
      <c r="J58" s="19" t="s">
        <v>63</v>
      </c>
      <c r="K58" s="6" t="s">
        <v>64</v>
      </c>
      <c r="L58" s="26">
        <v>795.7142857</v>
      </c>
      <c r="M58" s="16">
        <v>0.97753597751842758</v>
      </c>
      <c r="N58" s="25">
        <v>12296885.210526319</v>
      </c>
      <c r="O58" s="16">
        <v>1.0037700058385495</v>
      </c>
      <c r="P58" s="18">
        <v>2207.6993197032475</v>
      </c>
      <c r="Q58" s="16">
        <v>1.0268368928852314</v>
      </c>
    </row>
    <row r="59" spans="2:17" x14ac:dyDescent="0.7">
      <c r="B59" s="19" t="s">
        <v>58</v>
      </c>
      <c r="C59" s="6" t="s">
        <v>59</v>
      </c>
      <c r="D59" s="20">
        <v>325</v>
      </c>
      <c r="E59" s="16">
        <v>0.71115973741794314</v>
      </c>
      <c r="F59" s="17">
        <v>14467020.389606319</v>
      </c>
      <c r="G59" s="16">
        <v>0.72870723627913847</v>
      </c>
      <c r="H59" s="18">
        <v>6359.1298415851952</v>
      </c>
      <c r="I59" s="16">
        <v>1.0246744830140502</v>
      </c>
      <c r="J59" s="19" t="s">
        <v>58</v>
      </c>
      <c r="K59" s="6" t="s">
        <v>59</v>
      </c>
      <c r="L59" s="26">
        <v>769.71428571428567</v>
      </c>
      <c r="M59" s="16">
        <v>0.9455949455949455</v>
      </c>
      <c r="N59" s="25">
        <v>9743595</v>
      </c>
      <c r="O59" s="16">
        <v>0.79535006162913136</v>
      </c>
      <c r="P59" s="18">
        <v>1808.3880846325169</v>
      </c>
      <c r="Q59" s="16">
        <v>0.84111073703837991</v>
      </c>
    </row>
    <row r="61" spans="2:17" x14ac:dyDescent="0.7">
      <c r="C61" s="1" t="s">
        <v>65</v>
      </c>
    </row>
    <row r="62" spans="2:17" x14ac:dyDescent="0.7">
      <c r="C62" s="1" t="s">
        <v>66</v>
      </c>
    </row>
    <row r="63" spans="2:17" ht="27.6" x14ac:dyDescent="0.95">
      <c r="B63" s="33" t="s">
        <v>67</v>
      </c>
      <c r="C63" s="34"/>
      <c r="D63" s="34"/>
      <c r="E63" s="34"/>
      <c r="F63" s="34"/>
      <c r="G63" s="34"/>
      <c r="H63" s="34"/>
      <c r="I63" s="34"/>
      <c r="J63" s="34"/>
      <c r="K63" s="34"/>
      <c r="L63" s="34"/>
      <c r="M63" s="34"/>
      <c r="N63" s="34"/>
      <c r="O63" s="34"/>
      <c r="P63" s="34"/>
      <c r="Q63" s="34"/>
    </row>
    <row r="64" spans="2:17" x14ac:dyDescent="0.7">
      <c r="B64" s="34" t="s">
        <v>68</v>
      </c>
      <c r="C64" s="34"/>
      <c r="D64" s="34"/>
      <c r="E64" s="34"/>
      <c r="F64" s="34"/>
      <c r="G64" s="34"/>
      <c r="H64" s="34"/>
      <c r="I64" s="34"/>
      <c r="J64" s="34"/>
      <c r="K64" s="34"/>
      <c r="L64" s="34"/>
      <c r="M64" s="34"/>
      <c r="N64" s="34"/>
      <c r="O64" s="34"/>
      <c r="P64" s="34"/>
      <c r="Q64" s="34"/>
    </row>
    <row r="65" spans="2:17" x14ac:dyDescent="0.7">
      <c r="B65" s="34" t="s">
        <v>69</v>
      </c>
      <c r="C65" s="34"/>
      <c r="D65" s="34"/>
      <c r="E65" s="34"/>
      <c r="F65" s="34"/>
      <c r="G65" s="34"/>
      <c r="H65" s="34"/>
      <c r="I65" s="34"/>
      <c r="J65" s="34"/>
      <c r="K65" s="34"/>
      <c r="L65" s="34"/>
      <c r="M65" s="34"/>
      <c r="N65" s="34"/>
      <c r="O65" s="34"/>
      <c r="P65" s="34"/>
      <c r="Q65" s="34"/>
    </row>
    <row r="66" spans="2:17" x14ac:dyDescent="0.7">
      <c r="B66" s="34" t="s">
        <v>70</v>
      </c>
      <c r="C66" s="34"/>
      <c r="D66" s="34"/>
      <c r="E66" s="34"/>
      <c r="F66" s="34"/>
      <c r="G66" s="34"/>
      <c r="H66" s="34"/>
      <c r="I66" s="34"/>
      <c r="J66" s="34"/>
      <c r="K66" s="34"/>
      <c r="L66" s="34"/>
      <c r="M66" s="34"/>
      <c r="N66" s="34"/>
      <c r="O66" s="34"/>
      <c r="P66" s="34"/>
      <c r="Q66" s="34"/>
    </row>
    <row r="67" spans="2:17" x14ac:dyDescent="0.7">
      <c r="B67" s="34" t="s">
        <v>71</v>
      </c>
      <c r="C67" s="34"/>
      <c r="D67" s="34"/>
      <c r="E67" s="34"/>
      <c r="F67" s="34"/>
      <c r="G67" s="34"/>
      <c r="H67" s="34"/>
      <c r="I67" s="34"/>
      <c r="J67" s="34"/>
      <c r="K67" s="34"/>
      <c r="L67" s="34"/>
      <c r="M67" s="34"/>
      <c r="N67" s="34"/>
      <c r="O67" s="34"/>
      <c r="P67" s="34"/>
      <c r="Q67" s="34"/>
    </row>
    <row r="68" spans="2:17" x14ac:dyDescent="0.7">
      <c r="B68" s="34" t="s">
        <v>72</v>
      </c>
      <c r="C68" s="34"/>
      <c r="D68" s="34"/>
      <c r="E68" s="34"/>
      <c r="F68" s="34"/>
      <c r="G68" s="34"/>
      <c r="H68" s="34"/>
      <c r="I68" s="34"/>
      <c r="J68" s="34"/>
      <c r="K68" s="34"/>
      <c r="L68" s="34"/>
      <c r="M68" s="34"/>
      <c r="N68" s="34"/>
      <c r="O68" s="34"/>
      <c r="P68" s="34"/>
      <c r="Q68" s="34"/>
    </row>
    <row r="69" spans="2:17" x14ac:dyDescent="0.7">
      <c r="B69" s="34" t="s">
        <v>73</v>
      </c>
      <c r="C69" s="34"/>
      <c r="D69" s="34"/>
      <c r="E69" s="34"/>
      <c r="F69" s="34"/>
      <c r="G69" s="34"/>
      <c r="H69" s="34"/>
      <c r="I69" s="34"/>
      <c r="J69" s="34"/>
      <c r="K69" s="34"/>
      <c r="L69" s="34"/>
      <c r="M69" s="34"/>
      <c r="N69" s="34"/>
      <c r="O69" s="34"/>
      <c r="P69" s="34"/>
      <c r="Q69" s="34"/>
    </row>
    <row r="70" spans="2:17" x14ac:dyDescent="0.7">
      <c r="B70" s="34" t="s">
        <v>74</v>
      </c>
      <c r="C70" s="34"/>
      <c r="D70" s="34"/>
      <c r="E70" s="34"/>
      <c r="F70" s="34"/>
      <c r="G70" s="34"/>
      <c r="H70" s="34"/>
      <c r="I70" s="34"/>
      <c r="J70" s="34"/>
      <c r="K70" s="34"/>
      <c r="L70" s="34"/>
      <c r="M70" s="34"/>
      <c r="N70" s="34"/>
      <c r="O70" s="34"/>
      <c r="P70" s="34"/>
      <c r="Q70" s="34"/>
    </row>
    <row r="71" spans="2:17" x14ac:dyDescent="0.7">
      <c r="B71" s="34" t="s">
        <v>75</v>
      </c>
      <c r="C71" s="34"/>
      <c r="D71" s="34"/>
      <c r="E71" s="34"/>
      <c r="F71" s="34"/>
      <c r="G71" s="34"/>
      <c r="H71" s="34"/>
      <c r="I71" s="34"/>
      <c r="J71" s="34"/>
      <c r="K71" s="34"/>
      <c r="L71" s="34"/>
      <c r="M71" s="34"/>
      <c r="N71" s="34"/>
      <c r="O71" s="34"/>
      <c r="P71" s="34"/>
      <c r="Q71" s="34"/>
    </row>
    <row r="72" spans="2:17" x14ac:dyDescent="0.7">
      <c r="B72" s="34" t="s">
        <v>76</v>
      </c>
      <c r="C72" s="34"/>
      <c r="D72" s="34"/>
      <c r="E72" s="34"/>
      <c r="F72" s="34"/>
      <c r="G72" s="34"/>
      <c r="H72" s="34"/>
      <c r="I72" s="34"/>
      <c r="J72" s="34"/>
      <c r="K72" s="34"/>
      <c r="L72" s="34"/>
      <c r="M72" s="34"/>
      <c r="N72" s="34"/>
      <c r="O72" s="34"/>
      <c r="P72" s="34"/>
      <c r="Q72" s="34"/>
    </row>
    <row r="73" spans="2:17" x14ac:dyDescent="0.7">
      <c r="B73" s="34"/>
      <c r="C73" s="34"/>
      <c r="D73" s="34"/>
      <c r="E73" s="34"/>
      <c r="F73" s="34"/>
      <c r="G73" s="34"/>
      <c r="H73" s="34"/>
      <c r="I73" s="34"/>
      <c r="J73" s="34"/>
      <c r="K73" s="34"/>
      <c r="L73" s="34"/>
      <c r="M73" s="34"/>
      <c r="N73" s="34"/>
      <c r="O73" s="34"/>
      <c r="P73" s="34"/>
      <c r="Q73" s="34"/>
    </row>
  </sheetData>
  <mergeCells count="6">
    <mergeCell ref="B3:C3"/>
    <mergeCell ref="B4:C4"/>
    <mergeCell ref="B32:C32"/>
    <mergeCell ref="J32:K32"/>
    <mergeCell ref="B33:C33"/>
    <mergeCell ref="J33:K33"/>
  </mergeCells>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領域別コンディション</vt:lpstr>
    </vt:vector>
  </TitlesOfParts>
  <Company>Rakuten Group,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Kitahara, Marika | RM</dc:creator>
  <cp:lastModifiedBy>Kitahara, Marika | RM</cp:lastModifiedBy>
  <dcterms:created xsi:type="dcterms:W3CDTF">2025-11-06T00:29:36Z</dcterms:created>
  <dcterms:modified xsi:type="dcterms:W3CDTF">2025-11-06T00:29:50Z</dcterms:modified>
</cp:coreProperties>
</file>