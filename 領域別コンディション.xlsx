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ts-marika.a.kitahara\Desktop\佐藤さん\楽天カードウィークリーレポート\1119\"/>
    </mc:Choice>
  </mc:AlternateContent>
  <xr:revisionPtr revIDLastSave="0" documentId="13_ncr:1_{FDE81F51-20C4-4114-975E-14736CB988D7}" xr6:coauthVersionLast="47" xr6:coauthVersionMax="47" xr10:uidLastSave="{00000000-0000-0000-0000-000000000000}"/>
  <bookViews>
    <workbookView xWindow="-108" yWindow="-108" windowWidth="23256" windowHeight="13896" firstSheet="2" activeTab="4" xr2:uid="{00000000-000D-0000-FFFF-FFFF00000000}"/>
  </bookViews>
  <sheets>
    <sheet name="デイリーレポート" sheetId="1" r:id="rId1"/>
    <sheet name="目標" sheetId="10" r:id="rId2"/>
    <sheet name="週別×領域2別集計" sheetId="2" r:id="rId3"/>
    <sheet name="領域別コンディション" sheetId="3" r:id="rId4"/>
    <sheet name="SEM_ブレイクダウン" sheetId="12" r:id="rId5"/>
    <sheet name="PJT管理" sheetId="9" r:id="rId6"/>
    <sheet name="サマリ" sheetId="8" r:id="rId7"/>
    <sheet name="DM関連相談" sheetId="13" r:id="rId8"/>
    <sheet name="楽天経済圏外DM" sheetId="14" r:id="rId9"/>
  </sheets>
  <definedNames>
    <definedName name="_xlnm._FilterDatabase" localSheetId="0" hidden="1">デイリーレポート!$A$1:$H$811</definedName>
    <definedName name="_xlnm._FilterDatabase" localSheetId="2" hidden="1">週別×領域2別集計!$A$1:$E$81</definedName>
    <definedName name="_xlnm._FilterDatabase" localSheetId="1" hidden="1">目標!$A$1:$G$307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3" l="1"/>
  <c r="G32" i="3" s="1"/>
  <c r="D32" i="3"/>
  <c r="E32" i="3" s="1"/>
  <c r="H64" i="12"/>
  <c r="X32" i="12"/>
  <c r="Y32" i="12" s="1"/>
  <c r="W32" i="12"/>
  <c r="U32" i="12"/>
  <c r="P32" i="12"/>
  <c r="Q32" i="12" s="1"/>
  <c r="O32" i="12"/>
  <c r="M32" i="12"/>
  <c r="H32" i="12"/>
  <c r="I32" i="12" s="1"/>
  <c r="G32" i="12"/>
  <c r="E32" i="12"/>
  <c r="AV96" i="12"/>
  <c r="AU96" i="12"/>
  <c r="AS96" i="12"/>
  <c r="AN96" i="12"/>
  <c r="AM96" i="12"/>
  <c r="AK96" i="12"/>
  <c r="AF96" i="12"/>
  <c r="AE96" i="12"/>
  <c r="AC96" i="12"/>
  <c r="X96" i="12"/>
  <c r="W96" i="12"/>
  <c r="U96" i="12"/>
  <c r="P96" i="12"/>
  <c r="O96" i="12"/>
  <c r="M96" i="12"/>
  <c r="H96" i="12"/>
  <c r="G96" i="12"/>
  <c r="E96" i="12"/>
  <c r="P64" i="12"/>
  <c r="O64" i="12"/>
  <c r="M64" i="12"/>
  <c r="E64" i="12"/>
  <c r="P63" i="3"/>
  <c r="Q63" i="3" s="1"/>
  <c r="O63" i="3"/>
  <c r="M63" i="3"/>
  <c r="H63" i="3"/>
  <c r="I63" i="3" s="1"/>
  <c r="G63" i="3"/>
  <c r="E63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D31" i="3"/>
  <c r="AV95" i="12"/>
  <c r="AU95" i="12"/>
  <c r="AS95" i="12"/>
  <c r="AN95" i="12"/>
  <c r="AM95" i="12"/>
  <c r="AK95" i="12"/>
  <c r="AF95" i="12"/>
  <c r="AE95" i="12"/>
  <c r="AC95" i="12"/>
  <c r="X95" i="12"/>
  <c r="W95" i="12"/>
  <c r="U95" i="12"/>
  <c r="P95" i="12"/>
  <c r="O95" i="12"/>
  <c r="M95" i="12"/>
  <c r="H95" i="12"/>
  <c r="G95" i="12"/>
  <c r="E95" i="12"/>
  <c r="P63" i="12"/>
  <c r="O63" i="12"/>
  <c r="M63" i="12"/>
  <c r="H63" i="12"/>
  <c r="G63" i="12"/>
  <c r="E63" i="12"/>
  <c r="X31" i="12"/>
  <c r="W31" i="12"/>
  <c r="U31" i="12"/>
  <c r="P31" i="12"/>
  <c r="O31" i="12"/>
  <c r="M31" i="12"/>
  <c r="H31" i="12"/>
  <c r="G31" i="12"/>
  <c r="E31" i="12"/>
  <c r="P62" i="3"/>
  <c r="Q62" i="3" s="1"/>
  <c r="M62" i="3"/>
  <c r="H62" i="3"/>
  <c r="I62" i="3" s="1"/>
  <c r="E62" i="3"/>
  <c r="AV94" i="12"/>
  <c r="AU94" i="12"/>
  <c r="AS94" i="12"/>
  <c r="AN94" i="12"/>
  <c r="AM94" i="12"/>
  <c r="AK94" i="12"/>
  <c r="AF94" i="12"/>
  <c r="AE94" i="12"/>
  <c r="AC94" i="12"/>
  <c r="X94" i="12"/>
  <c r="W94" i="12"/>
  <c r="U94" i="12"/>
  <c r="P94" i="12"/>
  <c r="O94" i="12"/>
  <c r="M94" i="12"/>
  <c r="H94" i="12"/>
  <c r="G94" i="12"/>
  <c r="E94" i="12"/>
  <c r="P62" i="12"/>
  <c r="O62" i="12"/>
  <c r="M62" i="12"/>
  <c r="H62" i="12"/>
  <c r="G62" i="12"/>
  <c r="E62" i="12"/>
  <c r="X30" i="12"/>
  <c r="W30" i="12"/>
  <c r="U30" i="12"/>
  <c r="P30" i="12"/>
  <c r="O30" i="12"/>
  <c r="M30" i="12"/>
  <c r="H30" i="12"/>
  <c r="G30" i="12"/>
  <c r="E30" i="12"/>
  <c r="H32" i="3" l="1"/>
  <c r="I32" i="3" s="1"/>
  <c r="G64" i="12"/>
  <c r="H31" i="3"/>
  <c r="D29" i="3"/>
  <c r="D30" i="3"/>
  <c r="D28" i="3"/>
  <c r="D27" i="3"/>
  <c r="D26" i="3"/>
  <c r="D25" i="3"/>
  <c r="P60" i="3" l="1"/>
  <c r="Q60" i="3" s="1"/>
  <c r="M60" i="3"/>
  <c r="H60" i="3"/>
  <c r="I60" i="3" s="1"/>
  <c r="E60" i="3"/>
  <c r="P59" i="3"/>
  <c r="Q59" i="3" s="1"/>
  <c r="M59" i="3"/>
  <c r="H59" i="3"/>
  <c r="I59" i="3" s="1"/>
  <c r="E59" i="3"/>
  <c r="H29" i="3"/>
  <c r="H28" i="3"/>
  <c r="H27" i="3"/>
  <c r="AU92" i="12"/>
  <c r="AV93" i="12"/>
  <c r="AU93" i="12"/>
  <c r="AS93" i="12"/>
  <c r="AN93" i="12"/>
  <c r="AM93" i="12"/>
  <c r="AK93" i="12"/>
  <c r="AF93" i="12"/>
  <c r="AE93" i="12"/>
  <c r="AC93" i="12"/>
  <c r="X93" i="12"/>
  <c r="W93" i="12"/>
  <c r="U93" i="12"/>
  <c r="P93" i="12"/>
  <c r="O93" i="12"/>
  <c r="M93" i="12"/>
  <c r="H93" i="12"/>
  <c r="G93" i="12"/>
  <c r="E93" i="12"/>
  <c r="AS92" i="12"/>
  <c r="AN92" i="12"/>
  <c r="AM92" i="12"/>
  <c r="AK92" i="12"/>
  <c r="AF92" i="12"/>
  <c r="AE92" i="12"/>
  <c r="AC92" i="12"/>
  <c r="X92" i="12"/>
  <c r="W92" i="12"/>
  <c r="U92" i="12"/>
  <c r="P92" i="12"/>
  <c r="O92" i="12"/>
  <c r="M92" i="12"/>
  <c r="H92" i="12"/>
  <c r="G92" i="12"/>
  <c r="E92" i="12"/>
  <c r="X29" i="12"/>
  <c r="W29" i="12"/>
  <c r="U29" i="12"/>
  <c r="P29" i="12"/>
  <c r="O29" i="12"/>
  <c r="M29" i="12"/>
  <c r="H29" i="12"/>
  <c r="G29" i="12"/>
  <c r="E29" i="12"/>
  <c r="E28" i="12"/>
  <c r="G28" i="12"/>
  <c r="H28" i="12"/>
  <c r="M28" i="12"/>
  <c r="O28" i="12"/>
  <c r="P28" i="12"/>
  <c r="U28" i="12"/>
  <c r="W28" i="12"/>
  <c r="X28" i="12"/>
  <c r="P61" i="12"/>
  <c r="O61" i="12"/>
  <c r="M61" i="12"/>
  <c r="H61" i="12"/>
  <c r="G61" i="12"/>
  <c r="E61" i="12"/>
  <c r="P60" i="12"/>
  <c r="O60" i="12"/>
  <c r="M60" i="12"/>
  <c r="H60" i="12"/>
  <c r="G60" i="12"/>
  <c r="E60" i="12"/>
  <c r="H58" i="3"/>
  <c r="AV92" i="12" l="1"/>
  <c r="AM91" i="12"/>
  <c r="O91" i="12"/>
  <c r="AV91" i="12"/>
  <c r="AU91" i="12"/>
  <c r="AS91" i="12"/>
  <c r="AN91" i="12"/>
  <c r="AK91" i="12"/>
  <c r="AF91" i="12"/>
  <c r="AE91" i="12"/>
  <c r="AC91" i="12"/>
  <c r="X91" i="12"/>
  <c r="W91" i="12"/>
  <c r="U91" i="12"/>
  <c r="P91" i="12"/>
  <c r="M91" i="12"/>
  <c r="H91" i="12"/>
  <c r="G91" i="12"/>
  <c r="E91" i="12"/>
  <c r="P59" i="12"/>
  <c r="O59" i="12"/>
  <c r="M59" i="12"/>
  <c r="H59" i="12"/>
  <c r="G59" i="12"/>
  <c r="E59" i="12"/>
  <c r="X27" i="12"/>
  <c r="W27" i="12"/>
  <c r="U27" i="12"/>
  <c r="P27" i="12"/>
  <c r="O27" i="12"/>
  <c r="M27" i="12"/>
  <c r="H27" i="12"/>
  <c r="G27" i="12"/>
  <c r="E27" i="12"/>
  <c r="AV90" i="12" l="1"/>
  <c r="AU90" i="12"/>
  <c r="AS90" i="12"/>
  <c r="AN90" i="12"/>
  <c r="AM90" i="12"/>
  <c r="AK90" i="12"/>
  <c r="AF90" i="12"/>
  <c r="AE90" i="12"/>
  <c r="AC90" i="12"/>
  <c r="X90" i="12"/>
  <c r="W90" i="12"/>
  <c r="U90" i="12"/>
  <c r="P90" i="12"/>
  <c r="O90" i="12"/>
  <c r="M90" i="12"/>
  <c r="H90" i="12"/>
  <c r="G90" i="12"/>
  <c r="E90" i="12"/>
  <c r="P58" i="12"/>
  <c r="O58" i="12"/>
  <c r="M58" i="12"/>
  <c r="H58" i="12"/>
  <c r="G58" i="12"/>
  <c r="E58" i="12"/>
  <c r="X26" i="12"/>
  <c r="W26" i="12"/>
  <c r="U26" i="12"/>
  <c r="P26" i="12"/>
  <c r="O26" i="12"/>
  <c r="M26" i="12"/>
  <c r="H26" i="12"/>
  <c r="G26" i="12"/>
  <c r="E26" i="12"/>
  <c r="X24" i="8" l="1"/>
  <c r="D6" i="8"/>
  <c r="D5" i="8"/>
  <c r="D4" i="8"/>
  <c r="F4" i="8"/>
  <c r="G4" i="8"/>
  <c r="H4" i="8"/>
  <c r="I4" i="8"/>
  <c r="J4" i="8"/>
  <c r="K4" i="8"/>
  <c r="L4" i="8"/>
  <c r="M4" i="8"/>
  <c r="N4" i="8"/>
  <c r="O4" i="8"/>
  <c r="P4" i="8"/>
  <c r="Q4" i="8"/>
  <c r="R4" i="8"/>
  <c r="F5" i="8"/>
  <c r="G5" i="8"/>
  <c r="H5" i="8"/>
  <c r="I5" i="8"/>
  <c r="J5" i="8"/>
  <c r="K5" i="8"/>
  <c r="L5" i="8"/>
  <c r="M5" i="8"/>
  <c r="N5" i="8"/>
  <c r="O5" i="8"/>
  <c r="P5" i="8"/>
  <c r="Q5" i="8"/>
  <c r="R5" i="8"/>
  <c r="F6" i="8"/>
  <c r="G6" i="8"/>
  <c r="H6" i="8"/>
  <c r="I6" i="8"/>
  <c r="J6" i="8"/>
  <c r="K6" i="8"/>
  <c r="L6" i="8"/>
  <c r="M6" i="8"/>
  <c r="N6" i="8"/>
  <c r="O6" i="8"/>
  <c r="P6" i="8"/>
  <c r="Q6" i="8"/>
  <c r="R6" i="8"/>
  <c r="E6" i="8"/>
  <c r="E5" i="8"/>
  <c r="E4" i="8"/>
  <c r="U6" i="8"/>
  <c r="T6" i="8"/>
  <c r="S6" i="8"/>
  <c r="S5" i="8"/>
  <c r="T5" i="8"/>
  <c r="U5" i="8"/>
  <c r="U4" i="8"/>
  <c r="T4" i="8"/>
  <c r="S4" i="8"/>
  <c r="V5" i="8"/>
  <c r="W5" i="8"/>
  <c r="X5" i="8"/>
  <c r="V6" i="8"/>
  <c r="W6" i="8"/>
  <c r="X6" i="8"/>
  <c r="W4" i="8"/>
  <c r="X4" i="8"/>
  <c r="V4" i="8"/>
  <c r="W41" i="8"/>
  <c r="W23" i="8"/>
  <c r="W22" i="8"/>
  <c r="W18" i="8"/>
  <c r="W12" i="8"/>
  <c r="W24" i="8" s="1"/>
  <c r="D24" i="3" l="1"/>
  <c r="P56" i="3"/>
  <c r="Q56" i="3" s="1"/>
  <c r="M56" i="3"/>
  <c r="H56" i="3"/>
  <c r="I56" i="3" s="1"/>
  <c r="E56" i="3"/>
  <c r="P55" i="3"/>
  <c r="Q55" i="3" s="1"/>
  <c r="M55" i="3"/>
  <c r="H55" i="3"/>
  <c r="I55" i="3" s="1"/>
  <c r="E55" i="3"/>
  <c r="X23" i="8"/>
  <c r="V41" i="8"/>
  <c r="V23" i="8"/>
  <c r="V22" i="8"/>
  <c r="V18" i="8"/>
  <c r="V12" i="8"/>
  <c r="V24" i="8" s="1"/>
  <c r="F7" i="3"/>
  <c r="F6" i="3"/>
  <c r="F5" i="3"/>
  <c r="E57" i="3"/>
  <c r="H57" i="3"/>
  <c r="I57" i="3" s="1"/>
  <c r="P57" i="3"/>
  <c r="Q57" i="3" s="1"/>
  <c r="M57" i="3"/>
  <c r="H26" i="3"/>
  <c r="D23" i="3"/>
  <c r="AU70" i="12"/>
  <c r="AU71" i="12"/>
  <c r="AU72" i="12"/>
  <c r="AU73" i="12"/>
  <c r="AU74" i="12"/>
  <c r="AU75" i="12"/>
  <c r="AU76" i="12"/>
  <c r="AU77" i="12"/>
  <c r="AU78" i="12"/>
  <c r="AU79" i="12"/>
  <c r="AU80" i="12"/>
  <c r="AU81" i="12"/>
  <c r="AU82" i="12"/>
  <c r="AU83" i="12"/>
  <c r="AU84" i="12"/>
  <c r="AU85" i="12"/>
  <c r="AU86" i="12"/>
  <c r="AU87" i="12"/>
  <c r="AU88" i="12"/>
  <c r="AU89" i="12"/>
  <c r="AU69" i="12"/>
  <c r="AV68" i="12"/>
  <c r="AW96" i="12" s="1"/>
  <c r="AM70" i="12"/>
  <c r="AM71" i="12"/>
  <c r="AM72" i="12"/>
  <c r="AM73" i="12"/>
  <c r="AM74" i="12"/>
  <c r="AM75" i="12"/>
  <c r="AM76" i="12"/>
  <c r="AM77" i="12"/>
  <c r="AM78" i="12"/>
  <c r="AM79" i="12"/>
  <c r="AM80" i="12"/>
  <c r="AM81" i="12"/>
  <c r="AM82" i="12"/>
  <c r="AM83" i="12"/>
  <c r="AM84" i="12"/>
  <c r="AM85" i="12"/>
  <c r="AM86" i="12"/>
  <c r="AM87" i="12"/>
  <c r="AM88" i="12"/>
  <c r="AM89" i="12"/>
  <c r="AM69" i="12"/>
  <c r="AN85" i="12"/>
  <c r="AN72" i="12"/>
  <c r="AN68" i="12"/>
  <c r="AO96" i="12" s="1"/>
  <c r="AF85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69" i="12"/>
  <c r="AF68" i="12"/>
  <c r="AG96" i="12" s="1"/>
  <c r="G45" i="12"/>
  <c r="O13" i="12"/>
  <c r="X85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69" i="12"/>
  <c r="X68" i="12"/>
  <c r="Y96" i="12" s="1"/>
  <c r="P85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69" i="12"/>
  <c r="P69" i="12"/>
  <c r="P68" i="12"/>
  <c r="Q96" i="12" s="1"/>
  <c r="H85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69" i="12"/>
  <c r="H68" i="12"/>
  <c r="I96" i="12" s="1"/>
  <c r="O37" i="12"/>
  <c r="P53" i="12"/>
  <c r="G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P36" i="12"/>
  <c r="Q64" i="12" s="1"/>
  <c r="H53" i="12"/>
  <c r="H37" i="12"/>
  <c r="H36" i="12"/>
  <c r="I64" i="12" s="1"/>
  <c r="G38" i="12"/>
  <c r="G43" i="12"/>
  <c r="G44" i="12"/>
  <c r="G49" i="12"/>
  <c r="G51" i="12"/>
  <c r="G52" i="12"/>
  <c r="G53" i="12"/>
  <c r="G57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5" i="12"/>
  <c r="O8" i="12"/>
  <c r="O11" i="12"/>
  <c r="O12" i="12"/>
  <c r="O16" i="12"/>
  <c r="O19" i="12"/>
  <c r="O20" i="12"/>
  <c r="O24" i="12"/>
  <c r="P21" i="12"/>
  <c r="H21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5" i="12"/>
  <c r="X4" i="12"/>
  <c r="P4" i="12"/>
  <c r="H5" i="12"/>
  <c r="Q94" i="12" l="1"/>
  <c r="Q95" i="12"/>
  <c r="Y94" i="12"/>
  <c r="Y95" i="12"/>
  <c r="AO94" i="12"/>
  <c r="AO95" i="12"/>
  <c r="AW94" i="12"/>
  <c r="AW95" i="12"/>
  <c r="I62" i="12"/>
  <c r="I63" i="12"/>
  <c r="AG94" i="12"/>
  <c r="AG95" i="12"/>
  <c r="Q62" i="12"/>
  <c r="Q63" i="12"/>
  <c r="I94" i="12"/>
  <c r="I95" i="12"/>
  <c r="Q30" i="12"/>
  <c r="Q31" i="12"/>
  <c r="Y30" i="12"/>
  <c r="Y31" i="12"/>
  <c r="Y29" i="12"/>
  <c r="Y28" i="12"/>
  <c r="Q93" i="12"/>
  <c r="Q92" i="12"/>
  <c r="Y93" i="12"/>
  <c r="Y92" i="12"/>
  <c r="AO91" i="12"/>
  <c r="AO93" i="12"/>
  <c r="AO92" i="12"/>
  <c r="AW93" i="12"/>
  <c r="AW92" i="12"/>
  <c r="Q29" i="12"/>
  <c r="Q28" i="12"/>
  <c r="I92" i="12"/>
  <c r="I93" i="12"/>
  <c r="AG92" i="12"/>
  <c r="AG93" i="12"/>
  <c r="AG85" i="12"/>
  <c r="I61" i="12"/>
  <c r="I60" i="12"/>
  <c r="Q61" i="12"/>
  <c r="Q60" i="12"/>
  <c r="I58" i="12"/>
  <c r="I59" i="12"/>
  <c r="Q27" i="12"/>
  <c r="Q26" i="12"/>
  <c r="Q90" i="12"/>
  <c r="Q91" i="12"/>
  <c r="Y90" i="12"/>
  <c r="Y91" i="12"/>
  <c r="AW90" i="12"/>
  <c r="AW91" i="12"/>
  <c r="Q58" i="12"/>
  <c r="Q59" i="12"/>
  <c r="I90" i="12"/>
  <c r="I91" i="12"/>
  <c r="AG90" i="12"/>
  <c r="AG91" i="12"/>
  <c r="Q21" i="12"/>
  <c r="Y26" i="12"/>
  <c r="Y27" i="12"/>
  <c r="AO85" i="12"/>
  <c r="AO90" i="12"/>
  <c r="Q69" i="12"/>
  <c r="I85" i="12"/>
  <c r="Q85" i="12"/>
  <c r="AO72" i="12"/>
  <c r="Q53" i="12"/>
  <c r="H24" i="3"/>
  <c r="H25" i="3"/>
  <c r="H23" i="3"/>
  <c r="G50" i="12"/>
  <c r="I37" i="12"/>
  <c r="I53" i="12"/>
  <c r="O5" i="12"/>
  <c r="O18" i="12"/>
  <c r="O10" i="12"/>
  <c r="O25" i="12"/>
  <c r="O17" i="12"/>
  <c r="O9" i="12"/>
  <c r="O7" i="12"/>
  <c r="O23" i="12"/>
  <c r="O22" i="12"/>
  <c r="O14" i="12"/>
  <c r="O6" i="12"/>
  <c r="O15" i="12"/>
  <c r="O21" i="12"/>
  <c r="Y85" i="12"/>
  <c r="G42" i="12"/>
  <c r="G41" i="12"/>
  <c r="G56" i="12"/>
  <c r="G48" i="12"/>
  <c r="G40" i="12"/>
  <c r="G55" i="12"/>
  <c r="G47" i="12"/>
  <c r="G39" i="12"/>
  <c r="G54" i="12"/>
  <c r="G46" i="12"/>
  <c r="P5" i="12" l="1"/>
  <c r="Q5" i="12" s="1"/>
  <c r="H4" i="12"/>
  <c r="I30" i="12" l="1"/>
  <c r="I31" i="12"/>
  <c r="I5" i="12"/>
  <c r="I28" i="12"/>
  <c r="I29" i="12"/>
  <c r="I26" i="12"/>
  <c r="I27" i="12"/>
  <c r="I21" i="12"/>
  <c r="P18" i="8"/>
  <c r="U41" i="8"/>
  <c r="U23" i="8"/>
  <c r="U22" i="8"/>
  <c r="U18" i="8"/>
  <c r="U12" i="8"/>
  <c r="U24" i="8" s="1"/>
  <c r="D22" i="3"/>
  <c r="T55" i="12"/>
  <c r="P53" i="3"/>
  <c r="H53" i="3"/>
  <c r="F30" i="8"/>
  <c r="F29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X41" i="8"/>
  <c r="Y41" i="8"/>
  <c r="E41" i="8"/>
  <c r="D22" i="8"/>
  <c r="M54" i="3"/>
  <c r="T38" i="12"/>
  <c r="T39" i="12"/>
  <c r="T40" i="12"/>
  <c r="T41" i="12"/>
  <c r="T42" i="12"/>
  <c r="T43" i="12"/>
  <c r="T44" i="12"/>
  <c r="T45" i="12"/>
  <c r="T46" i="12"/>
  <c r="T47" i="12"/>
  <c r="T48" i="12"/>
  <c r="T49" i="12"/>
  <c r="T50" i="12"/>
  <c r="T51" i="12"/>
  <c r="T52" i="12"/>
  <c r="T53" i="12"/>
  <c r="T54" i="12"/>
  <c r="T37" i="12"/>
  <c r="T36" i="12"/>
  <c r="U64" i="12" s="1"/>
  <c r="I58" i="3"/>
  <c r="E58" i="3"/>
  <c r="H54" i="3"/>
  <c r="I54" i="3" s="1"/>
  <c r="E54" i="3"/>
  <c r="P58" i="3"/>
  <c r="Q58" i="3" s="1"/>
  <c r="M58" i="3"/>
  <c r="P54" i="3"/>
  <c r="Q54" i="3" s="1"/>
  <c r="AS89" i="12"/>
  <c r="AN89" i="12"/>
  <c r="AO89" i="12" s="1"/>
  <c r="AK89" i="12"/>
  <c r="AF89" i="12"/>
  <c r="AG89" i="12" s="1"/>
  <c r="AC89" i="12"/>
  <c r="X89" i="12"/>
  <c r="Y89" i="12" s="1"/>
  <c r="U89" i="12"/>
  <c r="P89" i="12"/>
  <c r="Q89" i="12" s="1"/>
  <c r="M89" i="12"/>
  <c r="H89" i="12"/>
  <c r="I89" i="12" s="1"/>
  <c r="E89" i="12"/>
  <c r="AS88" i="12"/>
  <c r="AN88" i="12"/>
  <c r="AO88" i="12" s="1"/>
  <c r="AK88" i="12"/>
  <c r="AF88" i="12"/>
  <c r="AG88" i="12" s="1"/>
  <c r="AC88" i="12"/>
  <c r="X88" i="12"/>
  <c r="Y88" i="12" s="1"/>
  <c r="U88" i="12"/>
  <c r="P88" i="12"/>
  <c r="Q88" i="12" s="1"/>
  <c r="M88" i="12"/>
  <c r="H88" i="12"/>
  <c r="I88" i="12" s="1"/>
  <c r="E88" i="12"/>
  <c r="AS87" i="12"/>
  <c r="AN87" i="12"/>
  <c r="AO87" i="12" s="1"/>
  <c r="AK87" i="12"/>
  <c r="AF87" i="12"/>
  <c r="AG87" i="12" s="1"/>
  <c r="AC87" i="12"/>
  <c r="X87" i="12"/>
  <c r="Y87" i="12" s="1"/>
  <c r="U87" i="12"/>
  <c r="P87" i="12"/>
  <c r="Q87" i="12" s="1"/>
  <c r="M87" i="12"/>
  <c r="H87" i="12"/>
  <c r="I87" i="12" s="1"/>
  <c r="E87" i="12"/>
  <c r="AS86" i="12"/>
  <c r="AN86" i="12"/>
  <c r="AO86" i="12" s="1"/>
  <c r="AK86" i="12"/>
  <c r="AF86" i="12"/>
  <c r="AG86" i="12" s="1"/>
  <c r="AC86" i="12"/>
  <c r="X86" i="12"/>
  <c r="Y86" i="12" s="1"/>
  <c r="U86" i="12"/>
  <c r="P86" i="12"/>
  <c r="Q86" i="12" s="1"/>
  <c r="M86" i="12"/>
  <c r="H86" i="12"/>
  <c r="I86" i="12" s="1"/>
  <c r="E86" i="12"/>
  <c r="AS85" i="12"/>
  <c r="AK85" i="12"/>
  <c r="AC85" i="12"/>
  <c r="U85" i="12"/>
  <c r="M85" i="12"/>
  <c r="E85" i="12"/>
  <c r="AS84" i="12"/>
  <c r="AN84" i="12"/>
  <c r="AO84" i="12" s="1"/>
  <c r="AK84" i="12"/>
  <c r="AF84" i="12"/>
  <c r="AG84" i="12" s="1"/>
  <c r="AC84" i="12"/>
  <c r="X84" i="12"/>
  <c r="Y84" i="12" s="1"/>
  <c r="U84" i="12"/>
  <c r="P84" i="12"/>
  <c r="Q84" i="12" s="1"/>
  <c r="M84" i="12"/>
  <c r="H84" i="12"/>
  <c r="I84" i="12" s="1"/>
  <c r="E84" i="12"/>
  <c r="AS83" i="12"/>
  <c r="AN83" i="12"/>
  <c r="AO83" i="12" s="1"/>
  <c r="AK83" i="12"/>
  <c r="AF83" i="12"/>
  <c r="AG83" i="12" s="1"/>
  <c r="AC83" i="12"/>
  <c r="X83" i="12"/>
  <c r="Y83" i="12" s="1"/>
  <c r="U83" i="12"/>
  <c r="P83" i="12"/>
  <c r="Q83" i="12" s="1"/>
  <c r="M83" i="12"/>
  <c r="H83" i="12"/>
  <c r="I83" i="12" s="1"/>
  <c r="E83" i="12"/>
  <c r="AS82" i="12"/>
  <c r="AN82" i="12"/>
  <c r="AO82" i="12" s="1"/>
  <c r="AK82" i="12"/>
  <c r="AF82" i="12"/>
  <c r="AG82" i="12" s="1"/>
  <c r="AC82" i="12"/>
  <c r="X82" i="12"/>
  <c r="Y82" i="12" s="1"/>
  <c r="U82" i="12"/>
  <c r="P82" i="12"/>
  <c r="Q82" i="12" s="1"/>
  <c r="M82" i="12"/>
  <c r="H82" i="12"/>
  <c r="I82" i="12" s="1"/>
  <c r="E82" i="12"/>
  <c r="AS81" i="12"/>
  <c r="AN81" i="12"/>
  <c r="AO81" i="12" s="1"/>
  <c r="AK81" i="12"/>
  <c r="AF81" i="12"/>
  <c r="AG81" i="12" s="1"/>
  <c r="AC81" i="12"/>
  <c r="X81" i="12"/>
  <c r="Y81" i="12" s="1"/>
  <c r="U81" i="12"/>
  <c r="P81" i="12"/>
  <c r="Q81" i="12" s="1"/>
  <c r="M81" i="12"/>
  <c r="H81" i="12"/>
  <c r="I81" i="12" s="1"/>
  <c r="E81" i="12"/>
  <c r="AS80" i="12"/>
  <c r="AN80" i="12"/>
  <c r="AO80" i="12" s="1"/>
  <c r="AK80" i="12"/>
  <c r="AF80" i="12"/>
  <c r="AG80" i="12" s="1"/>
  <c r="AC80" i="12"/>
  <c r="X80" i="12"/>
  <c r="Y80" i="12" s="1"/>
  <c r="U80" i="12"/>
  <c r="P80" i="12"/>
  <c r="Q80" i="12" s="1"/>
  <c r="M80" i="12"/>
  <c r="H80" i="12"/>
  <c r="I80" i="12" s="1"/>
  <c r="E80" i="12"/>
  <c r="AS79" i="12"/>
  <c r="AN79" i="12"/>
  <c r="AO79" i="12" s="1"/>
  <c r="AK79" i="12"/>
  <c r="AF79" i="12"/>
  <c r="AG79" i="12" s="1"/>
  <c r="AC79" i="12"/>
  <c r="X79" i="12"/>
  <c r="Y79" i="12" s="1"/>
  <c r="U79" i="12"/>
  <c r="P79" i="12"/>
  <c r="Q79" i="12" s="1"/>
  <c r="M79" i="12"/>
  <c r="H79" i="12"/>
  <c r="I79" i="12" s="1"/>
  <c r="E79" i="12"/>
  <c r="AS78" i="12"/>
  <c r="AN78" i="12"/>
  <c r="AO78" i="12" s="1"/>
  <c r="AK78" i="12"/>
  <c r="AF78" i="12"/>
  <c r="AG78" i="12" s="1"/>
  <c r="AC78" i="12"/>
  <c r="X78" i="12"/>
  <c r="Y78" i="12" s="1"/>
  <c r="U78" i="12"/>
  <c r="P78" i="12"/>
  <c r="Q78" i="12" s="1"/>
  <c r="M78" i="12"/>
  <c r="H78" i="12"/>
  <c r="I78" i="12" s="1"/>
  <c r="E78" i="12"/>
  <c r="AS77" i="12"/>
  <c r="AN77" i="12"/>
  <c r="AO77" i="12" s="1"/>
  <c r="AK77" i="12"/>
  <c r="AF77" i="12"/>
  <c r="AG77" i="12" s="1"/>
  <c r="AC77" i="12"/>
  <c r="X77" i="12"/>
  <c r="Y77" i="12" s="1"/>
  <c r="U77" i="12"/>
  <c r="P77" i="12"/>
  <c r="Q77" i="12" s="1"/>
  <c r="M77" i="12"/>
  <c r="H77" i="12"/>
  <c r="I77" i="12" s="1"/>
  <c r="E77" i="12"/>
  <c r="AS76" i="12"/>
  <c r="AN76" i="12"/>
  <c r="AO76" i="12" s="1"/>
  <c r="AK76" i="12"/>
  <c r="AF76" i="12"/>
  <c r="AG76" i="12" s="1"/>
  <c r="AC76" i="12"/>
  <c r="X76" i="12"/>
  <c r="Y76" i="12" s="1"/>
  <c r="U76" i="12"/>
  <c r="P76" i="12"/>
  <c r="Q76" i="12" s="1"/>
  <c r="M76" i="12"/>
  <c r="H76" i="12"/>
  <c r="I76" i="12" s="1"/>
  <c r="E76" i="12"/>
  <c r="AS75" i="12"/>
  <c r="AN75" i="12"/>
  <c r="AO75" i="12" s="1"/>
  <c r="AK75" i="12"/>
  <c r="AF75" i="12"/>
  <c r="AG75" i="12" s="1"/>
  <c r="AC75" i="12"/>
  <c r="X75" i="12"/>
  <c r="Y75" i="12" s="1"/>
  <c r="U75" i="12"/>
  <c r="P75" i="12"/>
  <c r="Q75" i="12" s="1"/>
  <c r="M75" i="12"/>
  <c r="H75" i="12"/>
  <c r="I75" i="12" s="1"/>
  <c r="E75" i="12"/>
  <c r="AS74" i="12"/>
  <c r="AN74" i="12"/>
  <c r="AO74" i="12" s="1"/>
  <c r="AK74" i="12"/>
  <c r="AF74" i="12"/>
  <c r="AG74" i="12" s="1"/>
  <c r="AC74" i="12"/>
  <c r="X74" i="12"/>
  <c r="Y74" i="12" s="1"/>
  <c r="U74" i="12"/>
  <c r="P74" i="12"/>
  <c r="Q74" i="12" s="1"/>
  <c r="M74" i="12"/>
  <c r="H74" i="12"/>
  <c r="I74" i="12" s="1"/>
  <c r="E74" i="12"/>
  <c r="AS73" i="12"/>
  <c r="AN73" i="12"/>
  <c r="AO73" i="12" s="1"/>
  <c r="AK73" i="12"/>
  <c r="AF73" i="12"/>
  <c r="AG73" i="12" s="1"/>
  <c r="AC73" i="12"/>
  <c r="X73" i="12"/>
  <c r="Y73" i="12" s="1"/>
  <c r="U73" i="12"/>
  <c r="P73" i="12"/>
  <c r="Q73" i="12" s="1"/>
  <c r="M73" i="12"/>
  <c r="H73" i="12"/>
  <c r="I73" i="12" s="1"/>
  <c r="E73" i="12"/>
  <c r="AS72" i="12"/>
  <c r="AK72" i="12"/>
  <c r="AF72" i="12"/>
  <c r="AG72" i="12" s="1"/>
  <c r="AC72" i="12"/>
  <c r="X72" i="12"/>
  <c r="Y72" i="12" s="1"/>
  <c r="U72" i="12"/>
  <c r="P72" i="12"/>
  <c r="Q72" i="12" s="1"/>
  <c r="M72" i="12"/>
  <c r="H72" i="12"/>
  <c r="I72" i="12" s="1"/>
  <c r="E72" i="12"/>
  <c r="AS71" i="12"/>
  <c r="AN71" i="12"/>
  <c r="AO71" i="12" s="1"/>
  <c r="AK71" i="12"/>
  <c r="AF71" i="12"/>
  <c r="AG71" i="12" s="1"/>
  <c r="AC71" i="12"/>
  <c r="X71" i="12"/>
  <c r="Y71" i="12" s="1"/>
  <c r="U71" i="12"/>
  <c r="P71" i="12"/>
  <c r="Q71" i="12" s="1"/>
  <c r="M71" i="12"/>
  <c r="H71" i="12"/>
  <c r="I71" i="12" s="1"/>
  <c r="E71" i="12"/>
  <c r="AS70" i="12"/>
  <c r="AN70" i="12"/>
  <c r="AO70" i="12" s="1"/>
  <c r="AK70" i="12"/>
  <c r="AF70" i="12"/>
  <c r="AG70" i="12" s="1"/>
  <c r="AC70" i="12"/>
  <c r="X70" i="12"/>
  <c r="Y70" i="12" s="1"/>
  <c r="U70" i="12"/>
  <c r="P70" i="12"/>
  <c r="Q70" i="12" s="1"/>
  <c r="M70" i="12"/>
  <c r="H70" i="12"/>
  <c r="I70" i="12" s="1"/>
  <c r="E70" i="12"/>
  <c r="AS69" i="12"/>
  <c r="AN69" i="12"/>
  <c r="AO69" i="12" s="1"/>
  <c r="AK69" i="12"/>
  <c r="AF69" i="12"/>
  <c r="AG69" i="12" s="1"/>
  <c r="AC69" i="12"/>
  <c r="X69" i="12"/>
  <c r="Y69" i="12" s="1"/>
  <c r="U69" i="12"/>
  <c r="M69" i="12"/>
  <c r="H69" i="12"/>
  <c r="I69" i="12" s="1"/>
  <c r="E69" i="12"/>
  <c r="P57" i="12"/>
  <c r="Q57" i="12" s="1"/>
  <c r="M57" i="12"/>
  <c r="H57" i="12"/>
  <c r="I57" i="12" s="1"/>
  <c r="E57" i="12"/>
  <c r="P56" i="12"/>
  <c r="Q56" i="12" s="1"/>
  <c r="M56" i="12"/>
  <c r="H56" i="12"/>
  <c r="I56" i="12" s="1"/>
  <c r="E56" i="12"/>
  <c r="P55" i="12"/>
  <c r="Q55" i="12" s="1"/>
  <c r="M55" i="12"/>
  <c r="H55" i="12"/>
  <c r="I55" i="12" s="1"/>
  <c r="E55" i="12"/>
  <c r="P54" i="12"/>
  <c r="Q54" i="12" s="1"/>
  <c r="M54" i="12"/>
  <c r="H54" i="12"/>
  <c r="I54" i="12" s="1"/>
  <c r="E54" i="12"/>
  <c r="M53" i="12"/>
  <c r="E53" i="12"/>
  <c r="P52" i="12"/>
  <c r="Q52" i="12" s="1"/>
  <c r="M52" i="12"/>
  <c r="H52" i="12"/>
  <c r="I52" i="12" s="1"/>
  <c r="E52" i="12"/>
  <c r="P51" i="12"/>
  <c r="Q51" i="12" s="1"/>
  <c r="M51" i="12"/>
  <c r="H51" i="12"/>
  <c r="I51" i="12" s="1"/>
  <c r="E51" i="12"/>
  <c r="P50" i="12"/>
  <c r="Q50" i="12" s="1"/>
  <c r="M50" i="12"/>
  <c r="H50" i="12"/>
  <c r="I50" i="12" s="1"/>
  <c r="E50" i="12"/>
  <c r="P49" i="12"/>
  <c r="Q49" i="12" s="1"/>
  <c r="M49" i="12"/>
  <c r="H49" i="12"/>
  <c r="I49" i="12" s="1"/>
  <c r="E49" i="12"/>
  <c r="P48" i="12"/>
  <c r="Q48" i="12" s="1"/>
  <c r="M48" i="12"/>
  <c r="H48" i="12"/>
  <c r="I48" i="12" s="1"/>
  <c r="E48" i="12"/>
  <c r="P47" i="12"/>
  <c r="Q47" i="12" s="1"/>
  <c r="M47" i="12"/>
  <c r="H47" i="12"/>
  <c r="I47" i="12" s="1"/>
  <c r="E47" i="12"/>
  <c r="P46" i="12"/>
  <c r="Q46" i="12" s="1"/>
  <c r="M46" i="12"/>
  <c r="H46" i="12"/>
  <c r="I46" i="12" s="1"/>
  <c r="E46" i="12"/>
  <c r="P45" i="12"/>
  <c r="Q45" i="12" s="1"/>
  <c r="M45" i="12"/>
  <c r="H45" i="12"/>
  <c r="I45" i="12" s="1"/>
  <c r="E45" i="12"/>
  <c r="P44" i="12"/>
  <c r="Q44" i="12" s="1"/>
  <c r="M44" i="12"/>
  <c r="H44" i="12"/>
  <c r="I44" i="12" s="1"/>
  <c r="E44" i="12"/>
  <c r="P43" i="12"/>
  <c r="Q43" i="12" s="1"/>
  <c r="M43" i="12"/>
  <c r="H43" i="12"/>
  <c r="I43" i="12" s="1"/>
  <c r="E43" i="12"/>
  <c r="P42" i="12"/>
  <c r="Q42" i="12" s="1"/>
  <c r="M42" i="12"/>
  <c r="H42" i="12"/>
  <c r="I42" i="12" s="1"/>
  <c r="E42" i="12"/>
  <c r="P41" i="12"/>
  <c r="Q41" i="12" s="1"/>
  <c r="M41" i="12"/>
  <c r="H41" i="12"/>
  <c r="I41" i="12" s="1"/>
  <c r="E41" i="12"/>
  <c r="P40" i="12"/>
  <c r="Q40" i="12" s="1"/>
  <c r="M40" i="12"/>
  <c r="H40" i="12"/>
  <c r="I40" i="12" s="1"/>
  <c r="E40" i="12"/>
  <c r="P39" i="12"/>
  <c r="Q39" i="12" s="1"/>
  <c r="M39" i="12"/>
  <c r="H39" i="12"/>
  <c r="I39" i="12" s="1"/>
  <c r="E39" i="12"/>
  <c r="P38" i="12"/>
  <c r="Q38" i="12" s="1"/>
  <c r="M38" i="12"/>
  <c r="H38" i="12"/>
  <c r="I38" i="12" s="1"/>
  <c r="E38" i="12"/>
  <c r="P37" i="12"/>
  <c r="Q37" i="12" s="1"/>
  <c r="M37" i="12"/>
  <c r="E37" i="12"/>
  <c r="X25" i="12"/>
  <c r="Y25" i="12" s="1"/>
  <c r="U25" i="12"/>
  <c r="P25" i="12"/>
  <c r="Q25" i="12" s="1"/>
  <c r="M25" i="12"/>
  <c r="H25" i="12"/>
  <c r="I25" i="12" s="1"/>
  <c r="E25" i="12"/>
  <c r="X24" i="12"/>
  <c r="Y24" i="12" s="1"/>
  <c r="U24" i="12"/>
  <c r="P24" i="12"/>
  <c r="Q24" i="12" s="1"/>
  <c r="M24" i="12"/>
  <c r="H24" i="12"/>
  <c r="I24" i="12" s="1"/>
  <c r="E24" i="12"/>
  <c r="X23" i="12"/>
  <c r="Y23" i="12" s="1"/>
  <c r="U23" i="12"/>
  <c r="P23" i="12"/>
  <c r="Q23" i="12" s="1"/>
  <c r="M23" i="12"/>
  <c r="H23" i="12"/>
  <c r="I23" i="12" s="1"/>
  <c r="E23" i="12"/>
  <c r="X22" i="12"/>
  <c r="Y22" i="12" s="1"/>
  <c r="U22" i="12"/>
  <c r="P22" i="12"/>
  <c r="Q22" i="12" s="1"/>
  <c r="M22" i="12"/>
  <c r="H22" i="12"/>
  <c r="I22" i="12" s="1"/>
  <c r="E22" i="12"/>
  <c r="X21" i="12"/>
  <c r="Y21" i="12" s="1"/>
  <c r="U21" i="12"/>
  <c r="M21" i="12"/>
  <c r="E21" i="12"/>
  <c r="X20" i="12"/>
  <c r="Y20" i="12" s="1"/>
  <c r="U20" i="12"/>
  <c r="P20" i="12"/>
  <c r="Q20" i="12" s="1"/>
  <c r="M20" i="12"/>
  <c r="H20" i="12"/>
  <c r="I20" i="12" s="1"/>
  <c r="E20" i="12"/>
  <c r="X19" i="12"/>
  <c r="Y19" i="12" s="1"/>
  <c r="U19" i="12"/>
  <c r="P19" i="12"/>
  <c r="Q19" i="12" s="1"/>
  <c r="M19" i="12"/>
  <c r="H19" i="12"/>
  <c r="I19" i="12" s="1"/>
  <c r="E19" i="12"/>
  <c r="X18" i="12"/>
  <c r="Y18" i="12" s="1"/>
  <c r="U18" i="12"/>
  <c r="P18" i="12"/>
  <c r="Q18" i="12" s="1"/>
  <c r="M18" i="12"/>
  <c r="H18" i="12"/>
  <c r="I18" i="12" s="1"/>
  <c r="E18" i="12"/>
  <c r="X17" i="12"/>
  <c r="Y17" i="12" s="1"/>
  <c r="U17" i="12"/>
  <c r="P17" i="12"/>
  <c r="Q17" i="12" s="1"/>
  <c r="M17" i="12"/>
  <c r="H17" i="12"/>
  <c r="I17" i="12" s="1"/>
  <c r="E17" i="12"/>
  <c r="X16" i="12"/>
  <c r="Y16" i="12" s="1"/>
  <c r="U16" i="12"/>
  <c r="P16" i="12"/>
  <c r="Q16" i="12" s="1"/>
  <c r="M16" i="12"/>
  <c r="H16" i="12"/>
  <c r="I16" i="12" s="1"/>
  <c r="E16" i="12"/>
  <c r="X15" i="12"/>
  <c r="Y15" i="12" s="1"/>
  <c r="U15" i="12"/>
  <c r="P15" i="12"/>
  <c r="Q15" i="12" s="1"/>
  <c r="M15" i="12"/>
  <c r="H15" i="12"/>
  <c r="I15" i="12" s="1"/>
  <c r="E15" i="12"/>
  <c r="X14" i="12"/>
  <c r="Y14" i="12" s="1"/>
  <c r="U14" i="12"/>
  <c r="P14" i="12"/>
  <c r="Q14" i="12" s="1"/>
  <c r="M14" i="12"/>
  <c r="H14" i="12"/>
  <c r="I14" i="12" s="1"/>
  <c r="E14" i="12"/>
  <c r="X13" i="12"/>
  <c r="Y13" i="12" s="1"/>
  <c r="U13" i="12"/>
  <c r="P13" i="12"/>
  <c r="Q13" i="12" s="1"/>
  <c r="M13" i="12"/>
  <c r="H13" i="12"/>
  <c r="I13" i="12" s="1"/>
  <c r="E13" i="12"/>
  <c r="X12" i="12"/>
  <c r="Y12" i="12" s="1"/>
  <c r="U12" i="12"/>
  <c r="P12" i="12"/>
  <c r="Q12" i="12" s="1"/>
  <c r="M12" i="12"/>
  <c r="H12" i="12"/>
  <c r="I12" i="12" s="1"/>
  <c r="E12" i="12"/>
  <c r="X11" i="12"/>
  <c r="Y11" i="12" s="1"/>
  <c r="U11" i="12"/>
  <c r="P11" i="12"/>
  <c r="Q11" i="12" s="1"/>
  <c r="M11" i="12"/>
  <c r="H11" i="12"/>
  <c r="I11" i="12" s="1"/>
  <c r="E11" i="12"/>
  <c r="X10" i="12"/>
  <c r="Y10" i="12" s="1"/>
  <c r="U10" i="12"/>
  <c r="P10" i="12"/>
  <c r="Q10" i="12" s="1"/>
  <c r="M10" i="12"/>
  <c r="H10" i="12"/>
  <c r="I10" i="12" s="1"/>
  <c r="E10" i="12"/>
  <c r="X9" i="12"/>
  <c r="Y9" i="12" s="1"/>
  <c r="U9" i="12"/>
  <c r="P9" i="12"/>
  <c r="Q9" i="12" s="1"/>
  <c r="M9" i="12"/>
  <c r="H9" i="12"/>
  <c r="I9" i="12" s="1"/>
  <c r="E9" i="12"/>
  <c r="X8" i="12"/>
  <c r="Y8" i="12" s="1"/>
  <c r="U8" i="12"/>
  <c r="P8" i="12"/>
  <c r="Q8" i="12" s="1"/>
  <c r="M8" i="12"/>
  <c r="H8" i="12"/>
  <c r="I8" i="12" s="1"/>
  <c r="E8" i="12"/>
  <c r="X7" i="12"/>
  <c r="Y7" i="12" s="1"/>
  <c r="U7" i="12"/>
  <c r="P7" i="12"/>
  <c r="Q7" i="12" s="1"/>
  <c r="M7" i="12"/>
  <c r="H7" i="12"/>
  <c r="I7" i="12" s="1"/>
  <c r="E7" i="12"/>
  <c r="X6" i="12"/>
  <c r="Y6" i="12" s="1"/>
  <c r="U6" i="12"/>
  <c r="P6" i="12"/>
  <c r="Q6" i="12" s="1"/>
  <c r="M6" i="12"/>
  <c r="H6" i="12"/>
  <c r="I6" i="12" s="1"/>
  <c r="E6" i="12"/>
  <c r="X5" i="12"/>
  <c r="Y5" i="12" s="1"/>
  <c r="U5" i="12"/>
  <c r="M5" i="12"/>
  <c r="E5" i="12"/>
  <c r="U62" i="12" l="1"/>
  <c r="U63" i="12"/>
  <c r="U59" i="12"/>
  <c r="U61" i="12"/>
  <c r="U60" i="12"/>
  <c r="U45" i="12"/>
  <c r="U57" i="12"/>
  <c r="U58" i="12"/>
  <c r="U50" i="12"/>
  <c r="U44" i="12"/>
  <c r="U37" i="12"/>
  <c r="U43" i="12"/>
  <c r="U54" i="12"/>
  <c r="U42" i="12"/>
  <c r="H22" i="3"/>
  <c r="U51" i="12"/>
  <c r="U39" i="12"/>
  <c r="U38" i="12"/>
  <c r="U56" i="12"/>
  <c r="U47" i="12"/>
  <c r="U55" i="12"/>
  <c r="U46" i="12"/>
  <c r="U49" i="12"/>
  <c r="U53" i="12"/>
  <c r="U41" i="12"/>
  <c r="U48" i="12"/>
  <c r="U52" i="12"/>
  <c r="U40" i="12"/>
  <c r="G30" i="8"/>
  <c r="D33" i="8" l="1"/>
  <c r="E33" i="8"/>
  <c r="C32" i="8"/>
  <c r="C31" i="8"/>
  <c r="F31" i="8" s="1"/>
  <c r="C33" i="8" l="1"/>
  <c r="F32" i="8"/>
  <c r="E41" i="9"/>
  <c r="X12" i="8"/>
  <c r="X18" i="8"/>
  <c r="BJ4" i="8"/>
  <c r="BI5" i="8"/>
  <c r="BI4" i="8"/>
  <c r="BH5" i="8"/>
  <c r="BH4" i="8"/>
  <c r="H21" i="3"/>
  <c r="Q53" i="3"/>
  <c r="M53" i="3"/>
  <c r="I53" i="3"/>
  <c r="E53" i="3"/>
  <c r="P52" i="3"/>
  <c r="Q52" i="3" s="1"/>
  <c r="M52" i="3"/>
  <c r="H52" i="3"/>
  <c r="I52" i="3" s="1"/>
  <c r="E52" i="3"/>
  <c r="T23" i="8"/>
  <c r="T22" i="8"/>
  <c r="T18" i="8"/>
  <c r="T24" i="8" s="1"/>
  <c r="G32" i="8" l="1"/>
  <c r="F33" i="8"/>
  <c r="BI6" i="8"/>
  <c r="AV83" i="12"/>
  <c r="AW83" i="12" s="1"/>
  <c r="AV80" i="12"/>
  <c r="AW80" i="12" s="1"/>
  <c r="AV75" i="12"/>
  <c r="AW75" i="12" s="1"/>
  <c r="AV72" i="12"/>
  <c r="AW72" i="12" s="1"/>
  <c r="AV71" i="12"/>
  <c r="AW71" i="12" s="1"/>
  <c r="AV89" i="12"/>
  <c r="AW89" i="12" s="1"/>
  <c r="AV88" i="12"/>
  <c r="AW88" i="12" s="1"/>
  <c r="AV87" i="12"/>
  <c r="AW87" i="12" s="1"/>
  <c r="AV85" i="12"/>
  <c r="AW85" i="12" s="1"/>
  <c r="AV84" i="12"/>
  <c r="AW84" i="12" s="1"/>
  <c r="AV82" i="12"/>
  <c r="AW82" i="12" s="1"/>
  <c r="AV81" i="12"/>
  <c r="AW81" i="12" s="1"/>
  <c r="AV78" i="12"/>
  <c r="AW78" i="12" s="1"/>
  <c r="AV77" i="12"/>
  <c r="AW77" i="12" s="1"/>
  <c r="AV76" i="12"/>
  <c r="AW76" i="12" s="1"/>
  <c r="AV74" i="12"/>
  <c r="AW74" i="12" s="1"/>
  <c r="AV73" i="12"/>
  <c r="AW73" i="12" s="1"/>
  <c r="AV69" i="12"/>
  <c r="AW69" i="12" s="1"/>
  <c r="BK5" i="8"/>
  <c r="BK4" i="8"/>
  <c r="BJ5" i="8"/>
  <c r="BG5" i="8"/>
  <c r="BG4" i="8"/>
  <c r="BF5" i="8"/>
  <c r="BF4" i="8"/>
  <c r="BE5" i="8"/>
  <c r="BE4" i="8"/>
  <c r="BD5" i="8"/>
  <c r="BD4" i="8"/>
  <c r="BC5" i="8"/>
  <c r="BC4" i="8"/>
  <c r="BB5" i="8"/>
  <c r="BB4" i="8"/>
  <c r="BA5" i="8"/>
  <c r="BA4" i="8"/>
  <c r="AZ5" i="8"/>
  <c r="AZ4" i="8"/>
  <c r="AY5" i="8"/>
  <c r="AY4" i="8"/>
  <c r="AX5" i="8"/>
  <c r="AX4" i="8"/>
  <c r="AW5" i="8"/>
  <c r="AW4" i="8"/>
  <c r="AV5" i="8"/>
  <c r="AV4" i="8"/>
  <c r="AU5" i="8"/>
  <c r="AU4" i="8"/>
  <c r="AT5" i="8"/>
  <c r="AT4" i="8"/>
  <c r="AS5" i="8"/>
  <c r="AS4" i="8"/>
  <c r="AR5" i="8"/>
  <c r="AR4" i="8"/>
  <c r="AQ5" i="8"/>
  <c r="AQ4" i="8"/>
  <c r="AP5" i="8"/>
  <c r="AP4" i="8"/>
  <c r="AO5" i="8"/>
  <c r="AO4" i="8"/>
  <c r="AN5" i="8"/>
  <c r="AN4" i="8"/>
  <c r="AM5" i="8"/>
  <c r="AM4" i="8"/>
  <c r="AL5" i="8"/>
  <c r="AL4" i="8"/>
  <c r="AK5" i="8"/>
  <c r="AK4" i="8"/>
  <c r="AJ5" i="8"/>
  <c r="AJ4" i="8"/>
  <c r="AI5" i="8"/>
  <c r="AI4" i="8"/>
  <c r="AH5" i="8"/>
  <c r="AH4" i="8"/>
  <c r="AG5" i="8"/>
  <c r="AG4" i="8"/>
  <c r="AF5" i="8"/>
  <c r="AF4" i="8"/>
  <c r="AE5" i="8"/>
  <c r="AE4" i="8"/>
  <c r="AD5" i="8"/>
  <c r="AD4" i="8"/>
  <c r="AC5" i="8"/>
  <c r="AC4" i="8"/>
  <c r="AB5" i="8"/>
  <c r="AB4" i="8"/>
  <c r="E44" i="9"/>
  <c r="E43" i="9"/>
  <c r="E42" i="9"/>
  <c r="E18" i="8"/>
  <c r="E24" i="8" s="1"/>
  <c r="F18" i="8"/>
  <c r="F24" i="8" s="1"/>
  <c r="G18" i="8"/>
  <c r="G24" i="8" s="1"/>
  <c r="H18" i="8"/>
  <c r="H24" i="8" s="1"/>
  <c r="I18" i="8"/>
  <c r="I24" i="8" s="1"/>
  <c r="J18" i="8"/>
  <c r="J24" i="8" s="1"/>
  <c r="K18" i="8"/>
  <c r="K24" i="8" s="1"/>
  <c r="L18" i="8"/>
  <c r="L24" i="8" s="1"/>
  <c r="M18" i="8"/>
  <c r="M24" i="8" s="1"/>
  <c r="N18" i="8"/>
  <c r="N24" i="8" s="1"/>
  <c r="O18" i="8"/>
  <c r="O24" i="8" s="1"/>
  <c r="P24" i="8"/>
  <c r="Q18" i="8"/>
  <c r="Q24" i="8" s="1"/>
  <c r="R18" i="8"/>
  <c r="R24" i="8" s="1"/>
  <c r="S18" i="8"/>
  <c r="S24" i="8" s="1"/>
  <c r="D18" i="8"/>
  <c r="D24" i="8" s="1"/>
  <c r="D23" i="8"/>
  <c r="E23" i="8"/>
  <c r="F23" i="8"/>
  <c r="G23" i="8"/>
  <c r="H23" i="8"/>
  <c r="I23" i="8"/>
  <c r="J23" i="8"/>
  <c r="K23" i="8"/>
  <c r="L23" i="8"/>
  <c r="M23" i="8"/>
  <c r="N23" i="8"/>
  <c r="O23" i="8"/>
  <c r="P23" i="8"/>
  <c r="Q23" i="8"/>
  <c r="R23" i="8"/>
  <c r="S23" i="8"/>
  <c r="E22" i="8"/>
  <c r="F22" i="8"/>
  <c r="G22" i="8"/>
  <c r="H22" i="8"/>
  <c r="I22" i="8"/>
  <c r="J22" i="8"/>
  <c r="K22" i="8"/>
  <c r="L22" i="8"/>
  <c r="M22" i="8"/>
  <c r="N22" i="8"/>
  <c r="O22" i="8"/>
  <c r="P22" i="8"/>
  <c r="Q22" i="8"/>
  <c r="R22" i="8"/>
  <c r="S22" i="8"/>
  <c r="X22" i="8"/>
  <c r="G83" i="10"/>
  <c r="G84" i="10"/>
  <c r="G85" i="10"/>
  <c r="G86" i="10"/>
  <c r="G87" i="10"/>
  <c r="G88" i="10"/>
  <c r="G89" i="10"/>
  <c r="G90" i="10"/>
  <c r="G91" i="10"/>
  <c r="G92" i="10"/>
  <c r="G8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2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52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93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14" i="10"/>
  <c r="BK6" i="8" l="1"/>
  <c r="AS6" i="8"/>
  <c r="AQ6" i="8"/>
  <c r="AM6" i="8"/>
  <c r="AC6" i="8"/>
  <c r="AK6" i="8"/>
  <c r="AW6" i="8"/>
  <c r="BE6" i="8"/>
  <c r="AO6" i="8"/>
  <c r="AE6" i="8"/>
  <c r="BC6" i="8"/>
  <c r="AG6" i="8"/>
  <c r="AY6" i="8"/>
  <c r="AI6" i="8"/>
  <c r="AU6" i="8"/>
  <c r="BA6" i="8"/>
  <c r="BG6" i="8"/>
  <c r="AV79" i="12"/>
  <c r="AW79" i="12" s="1"/>
  <c r="AV70" i="12"/>
  <c r="AW70" i="12" s="1"/>
  <c r="AV86" i="12"/>
  <c r="AW86" i="12" s="1"/>
  <c r="E45" i="9"/>
  <c r="E61" i="3" l="1"/>
  <c r="H61" i="3"/>
  <c r="I61" i="3" s="1"/>
  <c r="M61" i="3"/>
  <c r="P61" i="3"/>
  <c r="Q61" i="3" s="1"/>
  <c r="D4" i="3"/>
  <c r="E31" i="3" l="1"/>
  <c r="E28" i="3"/>
  <c r="E29" i="3"/>
  <c r="E27" i="3"/>
  <c r="E24" i="3"/>
  <c r="E25" i="3"/>
  <c r="E22" i="3"/>
  <c r="E26" i="3"/>
  <c r="E23" i="3"/>
  <c r="E20" i="3"/>
  <c r="E21" i="3"/>
  <c r="F35" i="3"/>
  <c r="G62" i="3" s="1"/>
  <c r="G60" i="3" l="1"/>
  <c r="G59" i="3"/>
  <c r="G56" i="3"/>
  <c r="G55" i="3"/>
  <c r="G57" i="3"/>
  <c r="G54" i="3"/>
  <c r="G58" i="3"/>
  <c r="G52" i="3"/>
  <c r="G53" i="3"/>
  <c r="G43" i="3"/>
  <c r="G61" i="3"/>
  <c r="G51" i="3"/>
  <c r="G50" i="3"/>
  <c r="G49" i="3"/>
  <c r="G48" i="3"/>
  <c r="G47" i="3"/>
  <c r="G37" i="3"/>
  <c r="G42" i="3"/>
  <c r="G46" i="3"/>
  <c r="G45" i="3"/>
  <c r="G44" i="3"/>
  <c r="G36" i="3"/>
  <c r="G40" i="3"/>
  <c r="G39" i="3"/>
  <c r="G38" i="3"/>
  <c r="G41" i="3"/>
  <c r="N35" i="3" l="1"/>
  <c r="O62" i="3" s="1"/>
  <c r="O59" i="3" l="1"/>
  <c r="O60" i="3"/>
  <c r="O56" i="3"/>
  <c r="O55" i="3"/>
  <c r="O57" i="3"/>
  <c r="O54" i="3"/>
  <c r="O58" i="3"/>
  <c r="O40" i="3"/>
  <c r="O53" i="3"/>
  <c r="O52" i="3"/>
  <c r="O51" i="3"/>
  <c r="O61" i="3"/>
  <c r="O49" i="3"/>
  <c r="O50" i="3"/>
  <c r="O37" i="3"/>
  <c r="O44" i="3"/>
  <c r="F4" i="3"/>
  <c r="O42" i="3"/>
  <c r="O48" i="3"/>
  <c r="O46" i="3"/>
  <c r="O41" i="3"/>
  <c r="O43" i="3"/>
  <c r="O39" i="3"/>
  <c r="O38" i="3"/>
  <c r="O36" i="3"/>
  <c r="O47" i="3"/>
  <c r="O45" i="3"/>
  <c r="G31" i="3" l="1"/>
  <c r="G27" i="3"/>
  <c r="G28" i="3"/>
  <c r="G29" i="3"/>
  <c r="G25" i="3"/>
  <c r="G24" i="3"/>
  <c r="G22" i="3"/>
  <c r="G23" i="3"/>
  <c r="G26" i="3"/>
  <c r="G21" i="3"/>
  <c r="H4" i="3"/>
  <c r="G8" i="3"/>
  <c r="G11" i="3"/>
  <c r="G12" i="3"/>
  <c r="G6" i="3"/>
  <c r="G9" i="3"/>
  <c r="G10" i="3"/>
  <c r="G5" i="3"/>
  <c r="G14" i="3"/>
  <c r="G7" i="3"/>
  <c r="G13" i="3"/>
  <c r="G15" i="3"/>
  <c r="G20" i="3"/>
  <c r="G30" i="3"/>
  <c r="G16" i="3"/>
  <c r="G17" i="3"/>
  <c r="G18" i="3"/>
  <c r="G19" i="3"/>
  <c r="H30" i="3"/>
  <c r="E30" i="3"/>
  <c r="H13" i="3"/>
  <c r="E13" i="3"/>
  <c r="E9" i="3"/>
  <c r="H9" i="3"/>
  <c r="E19" i="3"/>
  <c r="H19" i="3"/>
  <c r="E18" i="3"/>
  <c r="H18" i="3"/>
  <c r="E14" i="3"/>
  <c r="H14" i="3"/>
  <c r="E8" i="3"/>
  <c r="H8" i="3"/>
  <c r="E5" i="3"/>
  <c r="H5" i="3"/>
  <c r="E11" i="3"/>
  <c r="H11" i="3"/>
  <c r="E17" i="3"/>
  <c r="H17" i="3"/>
  <c r="H12" i="3"/>
  <c r="E12" i="3"/>
  <c r="E15" i="3"/>
  <c r="H15" i="3"/>
  <c r="H20" i="3"/>
  <c r="E10" i="3"/>
  <c r="H10" i="3"/>
  <c r="H16" i="3"/>
  <c r="E16" i="3"/>
  <c r="H7" i="3"/>
  <c r="E7" i="3"/>
  <c r="H6" i="3"/>
  <c r="E6" i="3"/>
  <c r="E46" i="3"/>
  <c r="H46" i="3"/>
  <c r="I46" i="3" s="1"/>
  <c r="E47" i="3"/>
  <c r="H47" i="3"/>
  <c r="I47" i="3" s="1"/>
  <c r="H43" i="3"/>
  <c r="I43" i="3" s="1"/>
  <c r="E43" i="3"/>
  <c r="H38" i="3"/>
  <c r="I38" i="3" s="1"/>
  <c r="E38" i="3"/>
  <c r="H39" i="3"/>
  <c r="I39" i="3" s="1"/>
  <c r="E39" i="3"/>
  <c r="E40" i="3"/>
  <c r="H40" i="3"/>
  <c r="I40" i="3" s="1"/>
  <c r="H45" i="3"/>
  <c r="I45" i="3" s="1"/>
  <c r="E45" i="3"/>
  <c r="H42" i="3"/>
  <c r="I42" i="3" s="1"/>
  <c r="E42" i="3"/>
  <c r="H36" i="3"/>
  <c r="I36" i="3" s="1"/>
  <c r="E36" i="3"/>
  <c r="H37" i="3"/>
  <c r="I37" i="3" s="1"/>
  <c r="E37" i="3"/>
  <c r="H44" i="3"/>
  <c r="I44" i="3" s="1"/>
  <c r="E44" i="3"/>
  <c r="H41" i="3"/>
  <c r="I41" i="3" s="1"/>
  <c r="E41" i="3"/>
  <c r="E48" i="3"/>
  <c r="H48" i="3"/>
  <c r="I48" i="3" s="1"/>
  <c r="H49" i="3"/>
  <c r="I49" i="3" s="1"/>
  <c r="E49" i="3"/>
  <c r="E51" i="3"/>
  <c r="H51" i="3"/>
  <c r="I51" i="3" s="1"/>
  <c r="H50" i="3"/>
  <c r="I50" i="3" s="1"/>
  <c r="E50" i="3"/>
  <c r="P42" i="3"/>
  <c r="Q42" i="3" s="1"/>
  <c r="M42" i="3"/>
  <c r="P46" i="3"/>
  <c r="Q46" i="3" s="1"/>
  <c r="M46" i="3"/>
  <c r="P45" i="3"/>
  <c r="Q45" i="3" s="1"/>
  <c r="M45" i="3"/>
  <c r="P43" i="3"/>
  <c r="Q43" i="3" s="1"/>
  <c r="M43" i="3"/>
  <c r="P41" i="3"/>
  <c r="Q41" i="3" s="1"/>
  <c r="M41" i="3"/>
  <c r="P37" i="3"/>
  <c r="Q37" i="3" s="1"/>
  <c r="M37" i="3"/>
  <c r="P48" i="3"/>
  <c r="Q48" i="3" s="1"/>
  <c r="M48" i="3"/>
  <c r="P39" i="3"/>
  <c r="Q39" i="3" s="1"/>
  <c r="M39" i="3"/>
  <c r="P38" i="3"/>
  <c r="Q38" i="3" s="1"/>
  <c r="M38" i="3"/>
  <c r="P40" i="3"/>
  <c r="Q40" i="3" s="1"/>
  <c r="M40" i="3"/>
  <c r="P36" i="3"/>
  <c r="Q36" i="3" s="1"/>
  <c r="M36" i="3"/>
  <c r="P47" i="3"/>
  <c r="Q47" i="3" s="1"/>
  <c r="M47" i="3"/>
  <c r="P44" i="3"/>
  <c r="Q44" i="3" s="1"/>
  <c r="M44" i="3"/>
  <c r="M50" i="3"/>
  <c r="P50" i="3"/>
  <c r="Q50" i="3" s="1"/>
  <c r="M51" i="3"/>
  <c r="P51" i="3"/>
  <c r="Q51" i="3" s="1"/>
  <c r="P49" i="3"/>
  <c r="Q49" i="3" s="1"/>
  <c r="M49" i="3"/>
  <c r="I31" i="3" l="1"/>
  <c r="I12" i="3"/>
  <c r="I28" i="3"/>
  <c r="I29" i="3"/>
  <c r="I27" i="3"/>
  <c r="I25" i="3"/>
  <c r="I24" i="3"/>
  <c r="I22" i="3"/>
  <c r="I26" i="3"/>
  <c r="I23" i="3"/>
  <c r="I30" i="3"/>
  <c r="I13" i="3"/>
  <c r="I21" i="3"/>
  <c r="I9" i="3"/>
  <c r="I19" i="3"/>
  <c r="I10" i="3"/>
  <c r="I11" i="3"/>
  <c r="I20" i="3"/>
  <c r="I8" i="3"/>
  <c r="I17" i="3"/>
  <c r="I16" i="3"/>
  <c r="I5" i="3"/>
  <c r="I15" i="3"/>
  <c r="I14" i="3"/>
  <c r="I7" i="3"/>
  <c r="I6" i="3"/>
  <c r="I18" i="3"/>
</calcChain>
</file>

<file path=xl/sharedStrings.xml><?xml version="1.0" encoding="utf-8"?>
<sst xmlns="http://schemas.openxmlformats.org/spreadsheetml/2006/main" count="7049" uniqueCount="515">
  <si>
    <t>領域</t>
  </si>
  <si>
    <t>領域2</t>
  </si>
  <si>
    <t>日付</t>
  </si>
  <si>
    <t>Week</t>
  </si>
  <si>
    <t>期間</t>
  </si>
  <si>
    <t>AF申込</t>
  </si>
  <si>
    <t>広告費</t>
  </si>
  <si>
    <t>CPA</t>
  </si>
  <si>
    <t>AFP</t>
  </si>
  <si>
    <t>アフィリエイト</t>
  </si>
  <si>
    <t>2025/04/01</t>
  </si>
  <si>
    <t>1jack</t>
  </si>
  <si>
    <t>4/1～4/7</t>
  </si>
  <si>
    <t>2025/04/02</t>
  </si>
  <si>
    <t>2025/04/03</t>
  </si>
  <si>
    <t>2025/04/04</t>
  </si>
  <si>
    <t>2025/04/05</t>
  </si>
  <si>
    <t>2025/04/06</t>
  </si>
  <si>
    <t>2025/04/07</t>
  </si>
  <si>
    <t>2025/04/08</t>
  </si>
  <si>
    <t>1week</t>
  </si>
  <si>
    <t>4/8～4/14</t>
  </si>
  <si>
    <t>2025/04/09</t>
  </si>
  <si>
    <t>2025/04/10</t>
  </si>
  <si>
    <t>2025/04/11</t>
  </si>
  <si>
    <t>2025/04/12</t>
  </si>
  <si>
    <t>2025/04/13</t>
  </si>
  <si>
    <t>2025/04/14</t>
  </si>
  <si>
    <t>2025/04/15</t>
  </si>
  <si>
    <t>2week</t>
  </si>
  <si>
    <t>4/15～4/21</t>
  </si>
  <si>
    <t>2025/04/16</t>
  </si>
  <si>
    <t>2025/04/17</t>
  </si>
  <si>
    <t>2025/04/18</t>
  </si>
  <si>
    <t>2025/04/19</t>
  </si>
  <si>
    <t>2025/04/20</t>
  </si>
  <si>
    <t>2025/04/21</t>
  </si>
  <si>
    <t>2025/04/22</t>
  </si>
  <si>
    <t>3week</t>
  </si>
  <si>
    <t>4/22～4/28</t>
  </si>
  <si>
    <t>2025/04/23</t>
  </si>
  <si>
    <t>2025/04/24</t>
  </si>
  <si>
    <t>2025/04/25</t>
  </si>
  <si>
    <t>2025/04/26</t>
  </si>
  <si>
    <t>2025/04/27</t>
  </si>
  <si>
    <t>2025/04/28</t>
  </si>
  <si>
    <t>2025/04/29</t>
  </si>
  <si>
    <t>4week</t>
  </si>
  <si>
    <t>4/29～5/5</t>
  </si>
  <si>
    <t>2025/04/30</t>
  </si>
  <si>
    <t>2025/05/01</t>
  </si>
  <si>
    <t>2025/05/02</t>
  </si>
  <si>
    <t>2025/05/03</t>
  </si>
  <si>
    <t>2025/05/04</t>
  </si>
  <si>
    <t>2025/05/05</t>
  </si>
  <si>
    <t>2025/05/06</t>
  </si>
  <si>
    <t>5week</t>
  </si>
  <si>
    <t>5/6～5/12</t>
  </si>
  <si>
    <t>2025/05/07</t>
  </si>
  <si>
    <t>2025/05/08</t>
  </si>
  <si>
    <t>2025/05/09</t>
  </si>
  <si>
    <t>2025/05/10</t>
  </si>
  <si>
    <t>2025/05/11</t>
  </si>
  <si>
    <t>2025/05/12</t>
  </si>
  <si>
    <t>2025/05/13</t>
  </si>
  <si>
    <t>6week</t>
  </si>
  <si>
    <t>5/13～5/19</t>
  </si>
  <si>
    <t>2025/05/14</t>
  </si>
  <si>
    <t>2025/05/15</t>
  </si>
  <si>
    <t>2025/05/16</t>
  </si>
  <si>
    <t>2025/05/17</t>
  </si>
  <si>
    <t>2025/05/18</t>
  </si>
  <si>
    <t>2025/05/19</t>
  </si>
  <si>
    <t>2025/05/20</t>
  </si>
  <si>
    <t>7week</t>
  </si>
  <si>
    <t>5/20～5/26</t>
  </si>
  <si>
    <t>2025/05/21</t>
  </si>
  <si>
    <t>2025/05/22</t>
  </si>
  <si>
    <t>2025/05/23</t>
  </si>
  <si>
    <t>2025/05/24</t>
  </si>
  <si>
    <t>2025/05/25</t>
  </si>
  <si>
    <t>2025/05/26</t>
  </si>
  <si>
    <t>2025/05/27</t>
  </si>
  <si>
    <t>8week</t>
  </si>
  <si>
    <t>5/27～6/2</t>
  </si>
  <si>
    <t>2025/05/28</t>
  </si>
  <si>
    <t>2025/05/29</t>
  </si>
  <si>
    <t>2025/05/30</t>
  </si>
  <si>
    <t>2025/05/31</t>
  </si>
  <si>
    <t>2025/06/01</t>
  </si>
  <si>
    <t>2025/06/02</t>
  </si>
  <si>
    <t>2025/06/03</t>
  </si>
  <si>
    <t>9week</t>
  </si>
  <si>
    <t>6/3～6/9</t>
  </si>
  <si>
    <t>2025/06/04</t>
  </si>
  <si>
    <t>2025/06/05</t>
  </si>
  <si>
    <t>2025/06/06</t>
  </si>
  <si>
    <t>2025/06/07</t>
  </si>
  <si>
    <t>2025/06/08</t>
  </si>
  <si>
    <t>2025/06/09</t>
  </si>
  <si>
    <t>2025/06/10</t>
  </si>
  <si>
    <t>10week</t>
  </si>
  <si>
    <t>6/10～6/16</t>
  </si>
  <si>
    <t>2025/06/11</t>
  </si>
  <si>
    <t>2025/06/12</t>
  </si>
  <si>
    <t>2025/06/13</t>
  </si>
  <si>
    <t>2025/06/14</t>
  </si>
  <si>
    <t>2025/06/15</t>
  </si>
  <si>
    <t>2025/06/16</t>
  </si>
  <si>
    <t>2025/06/17</t>
  </si>
  <si>
    <t>2025/06/18</t>
  </si>
  <si>
    <t>2025/06/19</t>
  </si>
  <si>
    <t>2025/06/20</t>
  </si>
  <si>
    <t>2jack</t>
  </si>
  <si>
    <t>6/20～6/30</t>
  </si>
  <si>
    <t>2025/06/21</t>
  </si>
  <si>
    <t>2025/06/22</t>
  </si>
  <si>
    <t>2025/06/23</t>
  </si>
  <si>
    <t>2025/06/24</t>
  </si>
  <si>
    <t>2025/06/25</t>
  </si>
  <si>
    <t>2025/06/26</t>
  </si>
  <si>
    <t>2025/06/27</t>
  </si>
  <si>
    <t>2025/06/28</t>
  </si>
  <si>
    <t>2025/06/29</t>
  </si>
  <si>
    <t>2025/06/30</t>
  </si>
  <si>
    <t>2025/07/01</t>
  </si>
  <si>
    <t>11week</t>
  </si>
  <si>
    <t>7/1～7/7</t>
  </si>
  <si>
    <t>2025/07/02</t>
  </si>
  <si>
    <t>2025/07/03</t>
  </si>
  <si>
    <t>2025/07/04</t>
  </si>
  <si>
    <t>2025/07/05</t>
  </si>
  <si>
    <t>2025/07/06</t>
  </si>
  <si>
    <t>2025/07/07</t>
  </si>
  <si>
    <t>2025/07/08</t>
  </si>
  <si>
    <t>12week</t>
  </si>
  <si>
    <t>7/8～7/14</t>
  </si>
  <si>
    <t>2025/07/09</t>
  </si>
  <si>
    <t>2025/07/10</t>
  </si>
  <si>
    <t>2025/07/11</t>
  </si>
  <si>
    <t>2025/07/12</t>
  </si>
  <si>
    <t>2025/07/13</t>
  </si>
  <si>
    <t>2025/07/14</t>
  </si>
  <si>
    <t>2025/07/15</t>
  </si>
  <si>
    <t>13week</t>
  </si>
  <si>
    <t>7/15～7/21</t>
  </si>
  <si>
    <t>2025/07/16</t>
  </si>
  <si>
    <t>2025/07/17</t>
  </si>
  <si>
    <t>2025/07/18</t>
  </si>
  <si>
    <t>2025/07/19</t>
  </si>
  <si>
    <t>2025/07/20</t>
  </si>
  <si>
    <t>2025/07/21</t>
  </si>
  <si>
    <t>2025/07/22</t>
  </si>
  <si>
    <t>14week</t>
  </si>
  <si>
    <t>7/22～7/28</t>
  </si>
  <si>
    <t>2025/07/23</t>
  </si>
  <si>
    <t>2025/07/24</t>
  </si>
  <si>
    <t>2025/07/25</t>
  </si>
  <si>
    <t>2025/07/26</t>
  </si>
  <si>
    <t>2025/07/27</t>
  </si>
  <si>
    <t>2025/07/28</t>
  </si>
  <si>
    <t>2025/07/29</t>
  </si>
  <si>
    <t>15week</t>
  </si>
  <si>
    <t>7/29～8/4</t>
  </si>
  <si>
    <t>2025/07/30</t>
  </si>
  <si>
    <t>2025/07/31</t>
  </si>
  <si>
    <t>2025/08/01</t>
  </si>
  <si>
    <t>2025/08/02</t>
  </si>
  <si>
    <t>2025/08/03</t>
  </si>
  <si>
    <t>2025/08/04</t>
  </si>
  <si>
    <t>2025/08/05</t>
  </si>
  <si>
    <t>16week</t>
  </si>
  <si>
    <t>8/5～8/11</t>
  </si>
  <si>
    <t>2025/08/06</t>
  </si>
  <si>
    <t>2025/08/07</t>
  </si>
  <si>
    <t>2025/08/08</t>
  </si>
  <si>
    <t>2025/08/09</t>
  </si>
  <si>
    <t>2025/08/10</t>
  </si>
  <si>
    <t>2025/08/11</t>
  </si>
  <si>
    <t>2025/08/12</t>
  </si>
  <si>
    <t>17week</t>
  </si>
  <si>
    <t>8/12～8/18</t>
  </si>
  <si>
    <t>2025/08/13</t>
  </si>
  <si>
    <t>GEZ</t>
  </si>
  <si>
    <t>RAA</t>
  </si>
  <si>
    <t>DPL</t>
  </si>
  <si>
    <t>ディスプレイ</t>
  </si>
  <si>
    <t>LTG</t>
  </si>
  <si>
    <t>リスティング</t>
  </si>
  <si>
    <t>TTL</t>
  </si>
  <si>
    <t>トータル</t>
  </si>
  <si>
    <t>2025/08/14</t>
  </si>
  <si>
    <t>2025/08/15</t>
  </si>
  <si>
    <t>2025/08/16</t>
  </si>
  <si>
    <t>2025/08/17</t>
  </si>
  <si>
    <t>2025/08/18</t>
  </si>
  <si>
    <t>2025/08/19</t>
  </si>
  <si>
    <t>18week</t>
  </si>
  <si>
    <t>8/19～8/25</t>
  </si>
  <si>
    <t>2025/08/20</t>
  </si>
  <si>
    <t>19week</t>
  </si>
  <si>
    <t>8/26～9/1</t>
  </si>
  <si>
    <t>20week</t>
  </si>
  <si>
    <t>9/2～9/8</t>
  </si>
  <si>
    <t>21week</t>
  </si>
  <si>
    <t>9/9～9/15</t>
  </si>
  <si>
    <t>AF申込合計</t>
  </si>
  <si>
    <t>広告費合計</t>
  </si>
  <si>
    <t>daily</t>
  </si>
  <si>
    <t>weekly</t>
  </si>
  <si>
    <t>ALL</t>
  </si>
  <si>
    <t>Daily_AFCV</t>
  </si>
  <si>
    <t>変化率</t>
  </si>
  <si>
    <t>1月～3月平均</t>
  </si>
  <si>
    <t>移管後1W</t>
  </si>
  <si>
    <t>移管後2W</t>
  </si>
  <si>
    <t>移管後3W</t>
  </si>
  <si>
    <t>移管後4W</t>
  </si>
  <si>
    <t>移管後5W</t>
  </si>
  <si>
    <t>移管後6W</t>
  </si>
  <si>
    <t>移管後7W</t>
  </si>
  <si>
    <t>移管後8W</t>
  </si>
  <si>
    <t>移管後9W</t>
  </si>
  <si>
    <t>移管後10W</t>
  </si>
  <si>
    <t>移管後11W</t>
  </si>
  <si>
    <t>移管後12W</t>
  </si>
  <si>
    <t>移管後13W</t>
  </si>
  <si>
    <t>移管後14W</t>
  </si>
  <si>
    <t>移管後15W</t>
  </si>
  <si>
    <t>移管後16W</t>
  </si>
  <si>
    <t>移管後17W</t>
  </si>
  <si>
    <t>移管後18W</t>
  </si>
  <si>
    <t>移管後19W</t>
  </si>
  <si>
    <t>移管後20W</t>
  </si>
  <si>
    <t>移管後21W</t>
  </si>
  <si>
    <t>移管後22W</t>
  </si>
  <si>
    <t>9/30~10/6</t>
  </si>
  <si>
    <t>移管後23W</t>
    <phoneticPr fontId="20"/>
  </si>
  <si>
    <t>10/7~10/13</t>
    <phoneticPr fontId="20"/>
  </si>
  <si>
    <t>移管後24W</t>
    <phoneticPr fontId="20"/>
  </si>
  <si>
    <t>10/14~10/20</t>
    <phoneticPr fontId="20"/>
  </si>
  <si>
    <t>移管後25W</t>
    <phoneticPr fontId="20"/>
  </si>
  <si>
    <t>10/21~10/27</t>
    <phoneticPr fontId="20"/>
  </si>
  <si>
    <t>移管後26W</t>
    <phoneticPr fontId="20"/>
  </si>
  <si>
    <t>10/28~11/3</t>
    <phoneticPr fontId="20"/>
  </si>
  <si>
    <t>移管後27W</t>
    <phoneticPr fontId="20"/>
  </si>
  <si>
    <t>11/4~11/10</t>
    <phoneticPr fontId="20"/>
  </si>
  <si>
    <t>AFF</t>
  </si>
  <si>
    <t>件数</t>
  </si>
  <si>
    <t>SEM</t>
  </si>
  <si>
    <t>移管後25W</t>
  </si>
  <si>
    <t>10/21~10/27</t>
  </si>
  <si>
    <t>移管後27W</t>
  </si>
  <si>
    <t>11/4~11/10</t>
  </si>
  <si>
    <t>還元/非還元ｘ移管/既存の象限整理をマンスリーで</t>
  </si>
  <si>
    <t>→毎月末対応予定</t>
  </si>
  <si>
    <t>■サマリコメント</t>
  </si>
  <si>
    <t>領域トータル：リスティングへのアロケーションにより全体復調率は大きく改善</t>
  </si>
  <si>
    <t>▼アフィリエイト</t>
  </si>
  <si>
    <t>　要因（還元）：モッピーは新規会員の増加率減少もあり件数停滞しているがLINEポイントブースト施策でリカバリー</t>
  </si>
  <si>
    <t>　要因（非還元）：三菱UFJニコスが11/9-12/10までカード申込停止＆アフィリエイト停止影響で、比較サイト内の掲載位置Up傾向</t>
  </si>
  <si>
    <t>　対策１：主要還元サイトにおける案件ページ改善対応進行</t>
  </si>
  <si>
    <t>▼リスティング</t>
  </si>
  <si>
    <t>　要因：アフィ下振れ分も含めコスト・目標を上乗せし、配信強化したことで件数増</t>
  </si>
  <si>
    <t>　対策１：ブランド・一般KW拡大</t>
  </si>
  <si>
    <t>■媒体別</t>
  </si>
  <si>
    <t>Google</t>
    <phoneticPr fontId="20"/>
  </si>
  <si>
    <t>Yahoo!</t>
    <phoneticPr fontId="20"/>
  </si>
  <si>
    <t>MS</t>
    <phoneticPr fontId="20"/>
  </si>
  <si>
    <t>移管後23W</t>
  </si>
  <si>
    <t>10/7~10/13</t>
  </si>
  <si>
    <t>移管後24W</t>
  </si>
  <si>
    <t>10/14~10/20</t>
  </si>
  <si>
    <t>移管後26W</t>
  </si>
  <si>
    <t>10/28~11/3</t>
  </si>
  <si>
    <t>■カテゴリ別</t>
    <rPh sb="5" eb="6">
      <t>ベツ</t>
    </rPh>
    <phoneticPr fontId="20"/>
  </si>
  <si>
    <t>単体</t>
    <rPh sb="0" eb="2">
      <t>タンタイ</t>
    </rPh>
    <phoneticPr fontId="20"/>
  </si>
  <si>
    <t>ブランド</t>
    <phoneticPr fontId="20"/>
  </si>
  <si>
    <t>その他</t>
  </si>
  <si>
    <t>■媒体別×カテゴリー別</t>
    <rPh sb="1" eb="3">
      <t>バイタイ</t>
    </rPh>
    <rPh sb="3" eb="4">
      <t>ベツ</t>
    </rPh>
    <rPh sb="10" eb="11">
      <t>ベツ</t>
    </rPh>
    <phoneticPr fontId="20"/>
  </si>
  <si>
    <t>Google×単体</t>
    <rPh sb="7" eb="9">
      <t>タンタイ</t>
    </rPh>
    <phoneticPr fontId="20"/>
  </si>
  <si>
    <t>Google×ブランド</t>
    <phoneticPr fontId="20"/>
  </si>
  <si>
    <t>Yahoo!×単体</t>
    <rPh sb="7" eb="9">
      <t>タンタイ</t>
    </rPh>
    <phoneticPr fontId="20"/>
  </si>
  <si>
    <t>Yahoo!×ブランド</t>
    <phoneticPr fontId="20"/>
  </si>
  <si>
    <t>MS×単体</t>
    <rPh sb="3" eb="5">
      <t>タンタイ</t>
    </rPh>
    <phoneticPr fontId="20"/>
  </si>
  <si>
    <t>MS×ブランド</t>
    <phoneticPr fontId="20"/>
  </si>
  <si>
    <t>Week.11/12</t>
  </si>
  <si>
    <t>前週からのUpdate</t>
  </si>
  <si>
    <t>No.</t>
  </si>
  <si>
    <t>ステータス</t>
  </si>
  <si>
    <t>プロジェクト名</t>
  </si>
  <si>
    <t>目的</t>
  </si>
  <si>
    <t>概要</t>
  </si>
  <si>
    <t>進捗率</t>
  </si>
  <si>
    <t>前週+</t>
  </si>
  <si>
    <t>全体ステータス</t>
  </si>
  <si>
    <t>RC/LSごとステータス</t>
  </si>
  <si>
    <t>Nextアクション（RC/LS）</t>
  </si>
  <si>
    <t>ゴール</t>
  </si>
  <si>
    <t>PIC</t>
    <phoneticPr fontId="20"/>
  </si>
  <si>
    <t>進行中</t>
  </si>
  <si>
    <t>DMの自動化プロジェクト</t>
  </si>
  <si>
    <t>作業効率化・効果向上、楽天会員新規刈り取り</t>
  </si>
  <si>
    <t>DM</t>
  </si>
  <si>
    <t>データ作成の自動化</t>
  </si>
  <si>
    <t>要件整理中</t>
  </si>
  <si>
    <t>RC</t>
  </si>
  <si>
    <t>-</t>
  </si>
  <si>
    <t>☀</t>
  </si>
  <si>
    <t>2025年12月</t>
  </si>
  <si>
    <t>佐藤</t>
    <rPh sb="0" eb="2">
      <t>サトウ</t>
    </rPh>
    <phoneticPr fontId="20"/>
  </si>
  <si>
    <t>LS</t>
  </si>
  <si>
    <t>発送に向け進行</t>
  </si>
  <si>
    <t>計画中</t>
  </si>
  <si>
    <t>DMのIFRS実施</t>
  </si>
  <si>
    <t>更なる費用捻出</t>
  </si>
  <si>
    <t>申込成果報酬での実施</t>
  </si>
  <si>
    <t>提案準備</t>
  </si>
  <si>
    <t>上限承認単価の確認</t>
  </si>
  <si>
    <t>☔</t>
  </si>
  <si>
    <t>運用可能として施策内容の提案検討</t>
  </si>
  <si>
    <t>成果付与期間の短縮化</t>
  </si>
  <si>
    <t>CVR向上と作業工数削減</t>
  </si>
  <si>
    <t>成果データ連携自動化による即時反映処理</t>
  </si>
  <si>
    <t>No.10待ち</t>
  </si>
  <si>
    <t>Phase1(カード側の工数削減)実行済</t>
  </si>
  <si>
    <t>Phase2への移行（No10がボトルネック）</t>
  </si>
  <si>
    <t>2025年10月</t>
  </si>
  <si>
    <t>今野</t>
  </si>
  <si>
    <t>Phase1実行済</t>
  </si>
  <si>
    <t>日報連携データ自動化</t>
  </si>
  <si>
    <t>作業工数削減とPDCAの高速化</t>
  </si>
  <si>
    <t>申込・発行データの自動連携</t>
  </si>
  <si>
    <t>DB反映待ち</t>
  </si>
  <si>
    <t>FintechDBへの接続待ち</t>
  </si>
  <si>
    <t>FintechDBへの連携</t>
  </si>
  <si>
    <t>☁</t>
  </si>
  <si>
    <t>佐藤</t>
  </si>
  <si>
    <t>PIIデータの自動連携</t>
  </si>
  <si>
    <t>効果改善と作業工数削減</t>
  </si>
  <si>
    <t>Display</t>
  </si>
  <si>
    <t>現状のデータ連携フローを見直し、自動化することによる頻度向上</t>
  </si>
  <si>
    <t>運用側での細かい調整の確認</t>
  </si>
  <si>
    <t>完了</t>
  </si>
  <si>
    <t>VIKファンド活用</t>
  </si>
  <si>
    <t>認知施策の実施</t>
  </si>
  <si>
    <t>Youtube</t>
  </si>
  <si>
    <t>VIKとの契約・Visaとの情報連携合意書</t>
  </si>
  <si>
    <t>2025年8月</t>
  </si>
  <si>
    <t>齋藤</t>
    <rPh sb="0" eb="2">
      <t>サイトウ</t>
    </rPh>
    <phoneticPr fontId="20"/>
  </si>
  <si>
    <t>Visa承認完了(9/9)</t>
  </si>
  <si>
    <t>VISA⇔LSJ発注処理</t>
  </si>
  <si>
    <t>SEM復調率ブレイクダウン</t>
  </si>
  <si>
    <t>効果改善</t>
  </si>
  <si>
    <t>メディアx単体/ブランドごとの分解と要因</t>
  </si>
  <si>
    <t>アプリケーション構築完了</t>
  </si>
  <si>
    <t>AFF復調化</t>
  </si>
  <si>
    <t>件数積み上げ</t>
  </si>
  <si>
    <t>AFF復調率100％に向けた打ち手の構築</t>
  </si>
  <si>
    <t>施策検討</t>
  </si>
  <si>
    <t>配信・クリエイティブ戦略</t>
  </si>
  <si>
    <t>通常期間の配信・クリエイティブ戦略の策定</t>
  </si>
  <si>
    <t>Google側での各種分析進行</t>
  </si>
  <si>
    <t>Google側での各種分析終了次第LSに共有</t>
  </si>
  <si>
    <t>クリエイティブ制作中（紹介CPNのみ）</t>
    <rPh sb="7" eb="10">
      <t>セイサクチュウ</t>
    </rPh>
    <rPh sb="11" eb="13">
      <t>ショウカイ</t>
    </rPh>
    <phoneticPr fontId="20"/>
  </si>
  <si>
    <t>クリエイティブ制作</t>
    <rPh sb="7" eb="9">
      <t>セイサク</t>
    </rPh>
    <phoneticPr fontId="20"/>
  </si>
  <si>
    <t>請求関連</t>
  </si>
  <si>
    <t>請求フローの煩雑化防止</t>
  </si>
  <si>
    <t>即付与対応時の計上月（翌月計上にずらさない）</t>
  </si>
  <si>
    <t>懸念確認中</t>
  </si>
  <si>
    <t>懸念点の洗い出し</t>
  </si>
  <si>
    <t>即付与成果に関する処理の整理</t>
  </si>
  <si>
    <t>モバイルDPIデータ活用</t>
  </si>
  <si>
    <t>グループ資産の活用</t>
  </si>
  <si>
    <t>モバイルデータ活用に向けた整理</t>
  </si>
  <si>
    <t>2025年11月</t>
  </si>
  <si>
    <t>11月マジ得開始に向けデータ手配中</t>
  </si>
  <si>
    <t>ワンメディアとの提携</t>
  </si>
  <si>
    <t>効果的なインフルエンサー施策の実施</t>
  </si>
  <si>
    <t>RC⇔LSJ⇔ワンメディアの商流体系を取る</t>
  </si>
  <si>
    <t>ワンメディア側と発注方法すり合わせ</t>
  </si>
  <si>
    <t>AIO対策</t>
  </si>
  <si>
    <t>LinkSurgeの導入によるコーポ・オウンド対策</t>
  </si>
  <si>
    <t>LinkSurgeの導入</t>
  </si>
  <si>
    <t>編成と進行</t>
  </si>
  <si>
    <t>編成部側で導入見送りを決定</t>
    <rPh sb="0" eb="3">
      <t>ヘンセイブ</t>
    </rPh>
    <rPh sb="3" eb="4">
      <t>ソバ</t>
    </rPh>
    <rPh sb="5" eb="7">
      <t>ドウニュウ</t>
    </rPh>
    <rPh sb="7" eb="9">
      <t>ミオク</t>
    </rPh>
    <rPh sb="11" eb="13">
      <t>ケッテイ</t>
    </rPh>
    <phoneticPr fontId="20"/>
  </si>
  <si>
    <t>フィードバックMTG実施予定</t>
  </si>
  <si>
    <t>フィードバックMTG実施の打診中</t>
    <rPh sb="10" eb="12">
      <t>ジッシ</t>
    </rPh>
    <rPh sb="13" eb="15">
      <t>ダシン</t>
    </rPh>
    <rPh sb="15" eb="16">
      <t>チュウ</t>
    </rPh>
    <phoneticPr fontId="20"/>
  </si>
  <si>
    <t>領域横断差配調整</t>
  </si>
  <si>
    <t>IFRSのより円滑な運用</t>
  </si>
  <si>
    <t>DisplayーSearch間の領域横断での差配調整</t>
  </si>
  <si>
    <t>Dis-Search間の調整は実現に向けて確認中</t>
  </si>
  <si>
    <t>楽天経済圏外DM施策</t>
  </si>
  <si>
    <t>楽天経済圏外からの新規送客</t>
  </si>
  <si>
    <t>楽天会員基盤以外を活用したDM施策の実現</t>
  </si>
  <si>
    <t>DMSーAOKIと施策内容精査</t>
  </si>
  <si>
    <t>DMS紹介済</t>
  </si>
  <si>
    <t>DMSーLSとの発注フロー整備</t>
  </si>
  <si>
    <t>GA4活用</t>
  </si>
  <si>
    <t>広告効果の可視化</t>
  </si>
  <si>
    <t>GA4を活用し、主に運用型広告の効果可視化を実現</t>
  </si>
  <si>
    <t>レポート案の作成、サーバー開設費の社内整理</t>
  </si>
  <si>
    <t>リアルアフィリエイト</t>
  </si>
  <si>
    <t>実店舗やイベントなどリアルな場所で実施するアフィリエイト</t>
  </si>
  <si>
    <t>学生向けリアルチャネル</t>
  </si>
  <si>
    <t>若年層を対象とした認知・獲得最大化</t>
  </si>
  <si>
    <t>若年層への接点となりうるリアルチャネルの開拓</t>
  </si>
  <si>
    <t>レビュー</t>
  </si>
  <si>
    <t>PJT数</t>
  </si>
  <si>
    <t>Bv(Month.1-3)</t>
  </si>
  <si>
    <t>AFCV</t>
  </si>
  <si>
    <t>基準値</t>
  </si>
  <si>
    <t>1Week</t>
  </si>
  <si>
    <t>2Week</t>
  </si>
  <si>
    <t>3Week</t>
  </si>
  <si>
    <t>4Week</t>
  </si>
  <si>
    <t>5Week</t>
  </si>
  <si>
    <t>6Week</t>
  </si>
  <si>
    <t>7Week</t>
  </si>
  <si>
    <t>8Week</t>
  </si>
  <si>
    <t>9Week</t>
  </si>
  <si>
    <t>10Week</t>
  </si>
  <si>
    <t>11Week</t>
  </si>
  <si>
    <t>12Week</t>
  </si>
  <si>
    <t>13Week</t>
  </si>
  <si>
    <t>14Week</t>
  </si>
  <si>
    <t>15Week</t>
  </si>
  <si>
    <t>16Week</t>
  </si>
  <si>
    <t>17Week</t>
  </si>
  <si>
    <t>18Week</t>
  </si>
  <si>
    <t>19Week</t>
  </si>
  <si>
    <t>20Week</t>
  </si>
  <si>
    <t>21Week</t>
  </si>
  <si>
    <t>1-3月平均</t>
  </si>
  <si>
    <t>4/8-4/14</t>
  </si>
  <si>
    <t>4/15-4/21</t>
  </si>
  <si>
    <t>4/22-4/28</t>
  </si>
  <si>
    <t>4/29-5/5</t>
  </si>
  <si>
    <t>5/6-5/12</t>
  </si>
  <si>
    <t>5/13-5/19</t>
  </si>
  <si>
    <t>5/20-5/26</t>
  </si>
  <si>
    <t>5/27-6/2</t>
  </si>
  <si>
    <t>6/3-6/9</t>
  </si>
  <si>
    <t>6/10-6/16</t>
  </si>
  <si>
    <t>7/1-7/7</t>
  </si>
  <si>
    <t>7/8-7/14</t>
  </si>
  <si>
    <t>7/15-7/21</t>
  </si>
  <si>
    <t>7/22-7/28</t>
  </si>
  <si>
    <t>7/29-8/4</t>
  </si>
  <si>
    <t>8/5-8/11</t>
  </si>
  <si>
    <t>8/12-8/18</t>
  </si>
  <si>
    <t>8/19-8/25</t>
  </si>
  <si>
    <t>8/26-9/1</t>
  </si>
  <si>
    <t>9/2-9/8</t>
  </si>
  <si>
    <t>9/9-9/15</t>
  </si>
  <si>
    <t>BGT</t>
  </si>
  <si>
    <t>ACT</t>
  </si>
  <si>
    <t>BvA</t>
  </si>
  <si>
    <t>Actual</t>
  </si>
  <si>
    <t>Target</t>
  </si>
  <si>
    <t>※AFF_Target：AFF_Target（TG）*0.9で算出</t>
  </si>
  <si>
    <t>GAP</t>
  </si>
  <si>
    <t>6月_Target</t>
  </si>
  <si>
    <t>6月_Actual</t>
  </si>
  <si>
    <t>Forecast</t>
  </si>
  <si>
    <t>BvF</t>
  </si>
  <si>
    <t>AFF_Budget</t>
  </si>
  <si>
    <t>変換率</t>
  </si>
  <si>
    <t>TG_Budget</t>
  </si>
  <si>
    <t>未策定→</t>
  </si>
  <si>
    <t>AFCV_変換</t>
  </si>
  <si>
    <t>１．DMの発送スケジュール短縮化に向けるイニシャル開発に関する打診</t>
  </si>
  <si>
    <t>２．DM_IFRSの処理について</t>
  </si>
  <si>
    <t>→テスト実施のタイミングに、通単価に含める形？で</t>
  </si>
  <si>
    <t>前提</t>
  </si>
  <si>
    <t>・楽天新規会員向けDM実施に向けて、40万通/月の発送想定</t>
  </si>
  <si>
    <t>・40万通ｘ12か月で実施するのであればNon-IFRSでの捻出が難しい</t>
  </si>
  <si>
    <t>・＋スポット予算拡大する場合はIFRS計上</t>
  </si>
  <si>
    <t>現状</t>
  </si>
  <si>
    <t>・楽天新規会員のDMパーミッションは10万通/月ほどがMAXになりそう</t>
  </si>
  <si>
    <t>└会員登録時住所未登録者が40-60％に現状なっている（70万登録x40-60％xDMパーミッション＝発送可能通数）</t>
  </si>
  <si>
    <t>→規模が大きく増加しないことも含め、IFRS計上による予算取りの必要があまりなくなった？</t>
  </si>
  <si>
    <t>→次年予算提出上はNon-IFRSで一旦進行いただく</t>
  </si>
  <si>
    <t>→Costになるため、承認されない可能性もある</t>
  </si>
  <si>
    <t>→毎月実施DMx12回＋半年実施大型DMx2回＋事業とのDMx2回＝16回くらい実施する想定</t>
  </si>
  <si>
    <t>ジャンル</t>
  </si>
  <si>
    <t>メニュー</t>
  </si>
  <si>
    <t>掲載可否</t>
  </si>
  <si>
    <t>経済圏系</t>
  </si>
  <si>
    <t>楽天</t>
  </si>
  <si>
    <t>○</t>
  </si>
  <si>
    <t>Ponta</t>
  </si>
  <si>
    <t>×</t>
  </si>
  <si>
    <t>Tポイント</t>
  </si>
  <si>
    <t>dポイント</t>
  </si>
  <si>
    <t>クレカ系</t>
  </si>
  <si>
    <t>JCB</t>
  </si>
  <si>
    <t>三井住友</t>
  </si>
  <si>
    <t>三菱UFJニコス</t>
  </si>
  <si>
    <t>クレディセゾン（UC）</t>
  </si>
  <si>
    <t>特定業界系</t>
  </si>
  <si>
    <t>AOKI</t>
  </si>
  <si>
    <t>※不着率確認</t>
  </si>
  <si>
    <t>ニトリ</t>
  </si>
  <si>
    <t>ヤマダ電機</t>
  </si>
  <si>
    <t>イオン</t>
  </si>
  <si>
    <t>JTB</t>
  </si>
  <si>
    <t>HIS</t>
  </si>
  <si>
    <t>JAF</t>
  </si>
  <si>
    <t>ベルメゾン</t>
  </si>
  <si>
    <t>マイナビ</t>
  </si>
  <si>
    <t>移管後28W</t>
  </si>
  <si>
    <t>移管後28W</t>
    <phoneticPr fontId="20"/>
  </si>
  <si>
    <t>11/11~11/17</t>
  </si>
  <si>
    <t>11/11~11/17</t>
    <phoneticPr fontId="2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</si>
</sst>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&quot;¥&quot;#,##0;[Red]\-&quot;¥&quot;#,##0"/>
    <numFmt numFmtId="177" formatCode="_-&quot;¥&quot;* #,##0_-;\-&quot;¥&quot;* #,##0_-;_-&quot;¥&quot;* &quot;-&quot;_-;_-@_-"/>
    <numFmt numFmtId="178" formatCode="_-* #,##0_-;\-* #,##0_-;_-* &quot;-&quot;_-;_-@_-"/>
    <numFmt numFmtId="179" formatCode="#,##0.0,,;[Red]\-#,##0.0,,"/>
    <numFmt numFmtId="180" formatCode="0.0%"/>
    <numFmt numFmtId="181" formatCode="\+0%"/>
  </numFmts>
  <fonts count="35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Rakuten Sans JP"/>
      <family val="2"/>
      <charset val="128"/>
    </font>
    <font>
      <sz val="9"/>
      <color theme="1"/>
      <name val="Rakuten Sans JP"/>
      <family val="2"/>
      <charset val="128"/>
    </font>
    <font>
      <u/>
      <sz val="11"/>
      <color theme="1"/>
      <name val="Rakuten Sans JP"/>
      <family val="2"/>
      <charset val="128"/>
    </font>
    <font>
      <b/>
      <sz val="11"/>
      <color theme="0"/>
      <name val="Rakuten Sans JP"/>
      <family val="2"/>
      <charset val="128"/>
    </font>
    <font>
      <sz val="11"/>
      <name val="Rakuten Sans JP"/>
      <family val="2"/>
      <charset val="128"/>
    </font>
    <font>
      <sz val="9"/>
      <name val="Rakuten Sans JP"/>
      <family val="2"/>
      <charset val="128"/>
    </font>
    <font>
      <b/>
      <sz val="11"/>
      <color theme="1"/>
      <name val="Rakuten Sans JP"/>
      <family val="2"/>
      <charset val="128"/>
    </font>
    <font>
      <b/>
      <sz val="10"/>
      <color theme="0"/>
      <name val="Rakuten Sans JP"/>
      <family val="2"/>
      <charset val="128"/>
    </font>
    <font>
      <sz val="12"/>
      <color theme="1"/>
      <name val="ＭＳ Ｐゴシック"/>
      <family val="2"/>
      <scheme val="minor"/>
    </font>
    <font>
      <sz val="8"/>
      <name val="ＭＳ Ｐゴシック"/>
      <family val="2"/>
      <scheme val="minor"/>
    </font>
    <font>
      <sz val="12"/>
      <color theme="1"/>
      <name val="Rakuten Sans JP"/>
      <family val="2"/>
      <charset val="128"/>
    </font>
    <font>
      <b/>
      <sz val="11"/>
      <color theme="9" tint="-0.249977111117893"/>
      <name val="Rakuten Sans JP"/>
      <family val="2"/>
      <charset val="128"/>
    </font>
    <font>
      <b/>
      <sz val="11"/>
      <color theme="6" tint="-0.249977111117893"/>
      <name val="Rakuten Sans JP"/>
      <family val="2"/>
      <charset val="128"/>
    </font>
    <font>
      <b/>
      <sz val="11"/>
      <color theme="4" tint="-0.249977111117893"/>
      <name val="Rakuten Sans JP"/>
      <family val="2"/>
      <charset val="128"/>
    </font>
    <font>
      <b/>
      <sz val="11"/>
      <color theme="5" tint="-0.249977111117893"/>
      <name val="Rakuten Sans JP"/>
      <family val="2"/>
      <charset val="128"/>
    </font>
    <font>
      <b/>
      <sz val="11"/>
      <name val="Rakuten Sans JP"/>
      <family val="2"/>
      <charset val="128"/>
    </font>
    <font>
      <b/>
      <sz val="12"/>
      <color theme="1"/>
      <name val="Rakuten Sans JP"/>
      <family val="2"/>
      <charset val="128"/>
    </font>
    <font>
      <sz val="6"/>
      <name val="ＭＳ Ｐゴシック"/>
      <family val="3"/>
      <charset val="128"/>
      <scheme val="minor"/>
    </font>
    <font>
      <sz val="12"/>
      <color rgb="FFFF0000"/>
      <name val="Rakuten Sans JP"/>
      <family val="2"/>
      <charset val="128"/>
    </font>
    <font>
      <sz val="8"/>
      <color theme="1"/>
      <name val="Rakuten Sans JP"/>
      <family val="2"/>
      <charset val="128"/>
    </font>
    <font>
      <sz val="8"/>
      <color theme="1"/>
      <name val="ＭＳ Ｐゴシック"/>
      <family val="2"/>
      <scheme val="minor"/>
    </font>
    <font>
      <b/>
      <sz val="10"/>
      <color theme="1"/>
      <name val="Rakuten Sans JP"/>
      <family val="2"/>
      <charset val="128"/>
    </font>
    <font>
      <sz val="8"/>
      <color rgb="FFFF0000"/>
      <name val="Rakuten Sans JP"/>
      <family val="2"/>
      <charset val="128"/>
    </font>
    <font>
      <b/>
      <sz val="8"/>
      <color rgb="FFFF0000"/>
      <name val="Rakuten Sans JP"/>
      <family val="2"/>
      <charset val="128"/>
    </font>
    <font>
      <u/>
      <sz val="12"/>
      <color theme="1"/>
      <name val="Rakuten Sans JP"/>
      <family val="2"/>
      <charset val="128"/>
    </font>
    <font>
      <sz val="11"/>
      <color rgb="FFFF0000"/>
      <name val="Rakuten Sans JP"/>
      <family val="2"/>
      <charset val="128"/>
    </font>
    <font>
      <b/>
      <sz val="11"/>
      <color rgb="FFFF0000"/>
      <name val="Rakuten Sans JP"/>
      <family val="2"/>
      <charset val="128"/>
    </font>
    <font>
      <sz val="11"/>
      <color rgb="FF000000"/>
      <name val="Rakuten Sans JP"/>
      <family val="2"/>
      <charset val="128"/>
    </font>
    <font>
      <b/>
      <sz val="14"/>
      <color theme="1"/>
      <name val="Rakuten Sans JP"/>
      <family val="2"/>
      <charset val="128"/>
    </font>
    <font>
      <sz val="12"/>
      <color theme="1"/>
      <name val="Rakuten Sans JP"/>
      <family val="2"/>
      <charset val="128"/>
    </font>
    <font>
      <sz val="12"/>
      <name val="Rakuten Sans JP"/>
      <family val="2"/>
      <charset val="128"/>
    </font>
    <font>
      <b/>
      <sz val="12"/>
      <name val="Rakuten Sans JP"/>
      <family val="2"/>
      <charset val="128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tted">
        <color rgb="FF000000"/>
      </top>
      <bottom/>
      <diagonal/>
    </border>
    <border>
      <left style="hair">
        <color auto="1"/>
      </left>
      <right style="hair">
        <color auto="1"/>
      </right>
      <top style="dotted">
        <color rgb="FF000000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tted">
        <color rgb="FF000000"/>
      </top>
      <bottom/>
      <diagonal/>
    </border>
    <border>
      <left style="hair">
        <color auto="1"/>
      </left>
      <right style="thin">
        <color auto="1"/>
      </right>
      <top style="dotted">
        <color rgb="FF000000"/>
      </top>
      <bottom/>
      <diagonal/>
    </border>
    <border>
      <left style="thin">
        <color auto="1"/>
      </left>
      <right style="hair">
        <color auto="1"/>
      </right>
      <top/>
      <bottom style="thin">
        <color rgb="FF000000"/>
      </bottom>
      <diagonal/>
    </border>
    <border>
      <left style="hair">
        <color auto="1"/>
      </left>
      <right style="hair">
        <color auto="1"/>
      </right>
      <top/>
      <bottom style="thin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 style="hair">
        <color auto="1"/>
      </right>
      <top/>
      <bottom style="dotted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dotted">
        <color rgb="FF000000"/>
      </bottom>
      <diagonal/>
    </border>
    <border>
      <left style="hair">
        <color auto="1"/>
      </left>
      <right style="hair">
        <color auto="1"/>
      </right>
      <top/>
      <bottom style="dotted">
        <color rgb="FF000000"/>
      </bottom>
      <diagonal/>
    </border>
    <border>
      <left style="hair">
        <color auto="1"/>
      </left>
      <right style="thin">
        <color auto="1"/>
      </right>
      <top/>
      <bottom style="dotted">
        <color rgb="FF000000"/>
      </bottom>
      <diagonal/>
    </border>
  </borders>
  <cellStyleXfs count="6">
    <xf numFmtId="0" fontId="0" fillId="0" borderId="0"/>
    <xf numFmtId="178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/>
    <xf numFmtId="0" fontId="1" fillId="0" borderId="0">
      <alignment vertical="center"/>
    </xf>
  </cellStyleXfs>
  <cellXfs count="233">
    <xf numFmtId="0" fontId="0" fillId="0" borderId="0" xfId="0"/>
    <xf numFmtId="178" fontId="0" fillId="0" borderId="0" xfId="1" applyFont="1"/>
    <xf numFmtId="178" fontId="0" fillId="0" borderId="0" xfId="0" applyNumberFormat="1"/>
    <xf numFmtId="0" fontId="3" fillId="0" borderId="1" xfId="0" applyFont="1" applyBorder="1"/>
    <xf numFmtId="0" fontId="3" fillId="0" borderId="0" xfId="0" applyFont="1"/>
    <xf numFmtId="178" fontId="3" fillId="0" borderId="2" xfId="1" applyFont="1" applyBorder="1"/>
    <xf numFmtId="0" fontId="3" fillId="0" borderId="3" xfId="0" applyFont="1" applyBorder="1"/>
    <xf numFmtId="178" fontId="3" fillId="0" borderId="3" xfId="1" applyFont="1" applyBorder="1"/>
    <xf numFmtId="9" fontId="3" fillId="0" borderId="3" xfId="3" applyFont="1" applyBorder="1"/>
    <xf numFmtId="178" fontId="3" fillId="0" borderId="1" xfId="1" applyFont="1" applyBorder="1"/>
    <xf numFmtId="9" fontId="3" fillId="0" borderId="1" xfId="3" applyFont="1" applyBorder="1"/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2" borderId="2" xfId="0" applyFont="1" applyFill="1" applyBorder="1"/>
    <xf numFmtId="179" fontId="3" fillId="0" borderId="3" xfId="3" applyNumberFormat="1" applyFont="1" applyBorder="1"/>
    <xf numFmtId="179" fontId="3" fillId="0" borderId="2" xfId="2" applyNumberFormat="1" applyFont="1" applyBorder="1"/>
    <xf numFmtId="176" fontId="0" fillId="0" borderId="0" xfId="0" applyNumberFormat="1"/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179" fontId="3" fillId="0" borderId="3" xfId="3" applyNumberFormat="1" applyFont="1" applyFill="1" applyBorder="1"/>
    <xf numFmtId="179" fontId="3" fillId="0" borderId="2" xfId="2" applyNumberFormat="1" applyFont="1" applyFill="1" applyBorder="1"/>
    <xf numFmtId="177" fontId="3" fillId="0" borderId="2" xfId="2" applyFont="1" applyFill="1" applyBorder="1"/>
    <xf numFmtId="177" fontId="3" fillId="0" borderId="3" xfId="2" applyFont="1" applyFill="1" applyBorder="1"/>
    <xf numFmtId="178" fontId="3" fillId="0" borderId="2" xfId="1" applyFont="1" applyFill="1" applyBorder="1"/>
    <xf numFmtId="178" fontId="3" fillId="0" borderId="3" xfId="1" applyFont="1" applyFill="1" applyBorder="1"/>
    <xf numFmtId="178" fontId="3" fillId="0" borderId="1" xfId="1" applyFont="1" applyFill="1" applyBorder="1"/>
    <xf numFmtId="0" fontId="6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78" fontId="9" fillId="0" borderId="9" xfId="1" applyFont="1" applyBorder="1"/>
    <xf numFmtId="180" fontId="3" fillId="3" borderId="7" xfId="3" applyNumberFormat="1" applyFont="1" applyFill="1" applyBorder="1"/>
    <xf numFmtId="180" fontId="3" fillId="3" borderId="1" xfId="3" applyNumberFormat="1" applyFont="1" applyFill="1" applyBorder="1"/>
    <xf numFmtId="180" fontId="7" fillId="6" borderId="7" xfId="3" applyNumberFormat="1" applyFont="1" applyFill="1" applyBorder="1"/>
    <xf numFmtId="180" fontId="3" fillId="7" borderId="7" xfId="3" applyNumberFormat="1" applyFont="1" applyFill="1" applyBorder="1"/>
    <xf numFmtId="180" fontId="3" fillId="7" borderId="1" xfId="3" applyNumberFormat="1" applyFont="1" applyFill="1" applyBorder="1"/>
    <xf numFmtId="0" fontId="10" fillId="4" borderId="1" xfId="0" applyFont="1" applyFill="1" applyBorder="1" applyAlignment="1">
      <alignment horizontal="center" vertical="center"/>
    </xf>
    <xf numFmtId="177" fontId="0" fillId="0" borderId="0" xfId="2" applyFont="1"/>
    <xf numFmtId="178" fontId="3" fillId="3" borderId="7" xfId="1" applyFont="1" applyFill="1" applyBorder="1"/>
    <xf numFmtId="178" fontId="3" fillId="3" borderId="1" xfId="1" applyFont="1" applyFill="1" applyBorder="1"/>
    <xf numFmtId="178" fontId="7" fillId="6" borderId="7" xfId="1" applyFont="1" applyFill="1" applyBorder="1"/>
    <xf numFmtId="178" fontId="7" fillId="6" borderId="1" xfId="1" applyFont="1" applyFill="1" applyBorder="1"/>
    <xf numFmtId="178" fontId="3" fillId="7" borderId="7" xfId="1" applyFont="1" applyFill="1" applyBorder="1"/>
    <xf numFmtId="178" fontId="3" fillId="7" borderId="1" xfId="1" applyFont="1" applyFill="1" applyBorder="1"/>
    <xf numFmtId="180" fontId="3" fillId="0" borderId="7" xfId="3" applyNumberFormat="1" applyFont="1" applyFill="1" applyBorder="1"/>
    <xf numFmtId="0" fontId="13" fillId="0" borderId="0" xfId="4" applyFont="1" applyAlignment="1">
      <alignment horizontal="center"/>
    </xf>
    <xf numFmtId="0" fontId="3" fillId="0" borderId="0" xfId="0" applyFont="1" applyAlignment="1">
      <alignment horizontal="center"/>
    </xf>
    <xf numFmtId="0" fontId="14" fillId="3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16" fillId="9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9" fontId="3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top"/>
    </xf>
    <xf numFmtId="0" fontId="17" fillId="5" borderId="0" xfId="0" applyFont="1" applyFill="1" applyAlignment="1">
      <alignment horizontal="center"/>
    </xf>
    <xf numFmtId="0" fontId="7" fillId="0" borderId="0" xfId="0" applyFont="1"/>
    <xf numFmtId="0" fontId="18" fillId="0" borderId="0" xfId="0" applyFont="1"/>
    <xf numFmtId="0" fontId="13" fillId="8" borderId="14" xfId="4" applyFont="1" applyFill="1" applyBorder="1" applyAlignment="1">
      <alignment horizontal="left"/>
    </xf>
    <xf numFmtId="0" fontId="13" fillId="8" borderId="15" xfId="4" applyFont="1" applyFill="1" applyBorder="1"/>
    <xf numFmtId="0" fontId="3" fillId="0" borderId="10" xfId="0" applyFont="1" applyBorder="1" applyAlignment="1">
      <alignment vertical="center"/>
    </xf>
    <xf numFmtId="0" fontId="13" fillId="8" borderId="0" xfId="4" applyFont="1" applyFill="1" applyAlignment="1">
      <alignment horizontal="left"/>
    </xf>
    <xf numFmtId="0" fontId="22" fillId="0" borderId="1" xfId="0" applyFont="1" applyBorder="1" applyAlignment="1">
      <alignment horizontal="center"/>
    </xf>
    <xf numFmtId="0" fontId="23" fillId="0" borderId="0" xfId="0" applyFont="1"/>
    <xf numFmtId="0" fontId="22" fillId="2" borderId="2" xfId="0" applyFont="1" applyFill="1" applyBorder="1"/>
    <xf numFmtId="179" fontId="22" fillId="0" borderId="2" xfId="2" applyNumberFormat="1" applyFont="1" applyFill="1" applyBorder="1"/>
    <xf numFmtId="177" fontId="22" fillId="0" borderId="2" xfId="2" applyFont="1" applyFill="1" applyBorder="1"/>
    <xf numFmtId="178" fontId="22" fillId="0" borderId="2" xfId="1" applyFont="1" applyFill="1" applyBorder="1"/>
    <xf numFmtId="179" fontId="22" fillId="0" borderId="2" xfId="2" applyNumberFormat="1" applyFont="1" applyBorder="1"/>
    <xf numFmtId="0" fontId="22" fillId="0" borderId="3" xfId="0" applyFont="1" applyBorder="1"/>
    <xf numFmtId="0" fontId="22" fillId="0" borderId="3" xfId="0" applyFont="1" applyBorder="1" applyAlignment="1">
      <alignment horizontal="center"/>
    </xf>
    <xf numFmtId="178" fontId="22" fillId="0" borderId="3" xfId="1" applyFont="1" applyBorder="1"/>
    <xf numFmtId="9" fontId="22" fillId="0" borderId="3" xfId="3" applyFont="1" applyBorder="1"/>
    <xf numFmtId="179" fontId="22" fillId="0" borderId="3" xfId="3" applyNumberFormat="1" applyFont="1" applyFill="1" applyBorder="1"/>
    <xf numFmtId="177" fontId="22" fillId="0" borderId="3" xfId="2" applyFont="1" applyFill="1" applyBorder="1"/>
    <xf numFmtId="178" fontId="22" fillId="0" borderId="3" xfId="1" applyFont="1" applyFill="1" applyBorder="1"/>
    <xf numFmtId="179" fontId="22" fillId="0" borderId="3" xfId="3" applyNumberFormat="1" applyFont="1" applyBorder="1"/>
    <xf numFmtId="0" fontId="22" fillId="0" borderId="1" xfId="0" applyFont="1" applyBorder="1"/>
    <xf numFmtId="178" fontId="22" fillId="0" borderId="1" xfId="1" applyFont="1" applyBorder="1"/>
    <xf numFmtId="178" fontId="22" fillId="0" borderId="1" xfId="1" applyFont="1" applyFill="1" applyBorder="1"/>
    <xf numFmtId="0" fontId="22" fillId="0" borderId="0" xfId="0" applyFont="1"/>
    <xf numFmtId="0" fontId="22" fillId="0" borderId="2" xfId="0" applyFont="1" applyBorder="1"/>
    <xf numFmtId="9" fontId="22" fillId="0" borderId="3" xfId="3" applyFont="1" applyFill="1" applyBorder="1"/>
    <xf numFmtId="0" fontId="25" fillId="2" borderId="2" xfId="0" applyFont="1" applyFill="1" applyBorder="1"/>
    <xf numFmtId="178" fontId="26" fillId="0" borderId="2" xfId="1" applyFont="1" applyBorder="1"/>
    <xf numFmtId="0" fontId="26" fillId="2" borderId="2" xfId="0" applyFont="1" applyFill="1" applyBorder="1"/>
    <xf numFmtId="179" fontId="26" fillId="0" borderId="2" xfId="2" applyNumberFormat="1" applyFont="1" applyFill="1" applyBorder="1"/>
    <xf numFmtId="0" fontId="26" fillId="0" borderId="2" xfId="0" applyFont="1" applyBorder="1"/>
    <xf numFmtId="177" fontId="26" fillId="0" borderId="2" xfId="2" applyFont="1" applyFill="1" applyBorder="1"/>
    <xf numFmtId="178" fontId="26" fillId="0" borderId="2" xfId="1" applyFont="1" applyFill="1" applyBorder="1"/>
    <xf numFmtId="178" fontId="3" fillId="0" borderId="0" xfId="1" applyFont="1"/>
    <xf numFmtId="9" fontId="0" fillId="0" borderId="0" xfId="3" applyFont="1"/>
    <xf numFmtId="178" fontId="3" fillId="0" borderId="0" xfId="0" applyNumberFormat="1" applyFont="1"/>
    <xf numFmtId="0" fontId="0" fillId="0" borderId="0" xfId="1" applyNumberFormat="1" applyFont="1"/>
    <xf numFmtId="14" fontId="0" fillId="0" borderId="0" xfId="0" applyNumberFormat="1"/>
    <xf numFmtId="9" fontId="0" fillId="0" borderId="0" xfId="0" applyNumberFormat="1"/>
    <xf numFmtId="9" fontId="3" fillId="0" borderId="1" xfId="0" applyNumberFormat="1" applyFont="1" applyBorder="1"/>
    <xf numFmtId="1" fontId="3" fillId="0" borderId="1" xfId="0" applyNumberFormat="1" applyFont="1" applyBorder="1"/>
    <xf numFmtId="0" fontId="24" fillId="0" borderId="0" xfId="0" applyFont="1" applyAlignment="1">
      <alignment vertical="center"/>
    </xf>
    <xf numFmtId="0" fontId="27" fillId="0" borderId="0" xfId="0" applyFont="1"/>
    <xf numFmtId="0" fontId="3" fillId="0" borderId="10" xfId="4" applyFont="1" applyBorder="1" applyAlignment="1">
      <alignment vertical="center"/>
    </xf>
    <xf numFmtId="0" fontId="28" fillId="0" borderId="0" xfId="0" applyFont="1"/>
    <xf numFmtId="0" fontId="5" fillId="0" borderId="0" xfId="0" applyFont="1"/>
    <xf numFmtId="180" fontId="3" fillId="6" borderId="1" xfId="3" applyNumberFormat="1" applyFont="1" applyFill="1" applyBorder="1"/>
    <xf numFmtId="0" fontId="3" fillId="0" borderId="12" xfId="4" applyFont="1" applyBorder="1" applyAlignment="1">
      <alignment vertical="center"/>
    </xf>
    <xf numFmtId="0" fontId="30" fillId="0" borderId="10" xfId="4" applyFont="1" applyBorder="1" applyAlignment="1">
      <alignment vertical="center"/>
    </xf>
    <xf numFmtId="0" fontId="30" fillId="0" borderId="12" xfId="4" applyFont="1" applyBorder="1" applyAlignment="1">
      <alignment vertical="center"/>
    </xf>
    <xf numFmtId="0" fontId="3" fillId="0" borderId="30" xfId="4" applyFont="1" applyBorder="1" applyAlignment="1">
      <alignment vertical="center"/>
    </xf>
    <xf numFmtId="0" fontId="3" fillId="0" borderId="30" xfId="0" applyFont="1" applyBorder="1" applyAlignment="1">
      <alignment vertical="center"/>
    </xf>
    <xf numFmtId="0" fontId="3" fillId="0" borderId="10" xfId="0" applyFont="1" applyBorder="1" applyAlignment="1">
      <alignment horizontal="left" vertical="top" wrapText="1"/>
    </xf>
    <xf numFmtId="0" fontId="29" fillId="10" borderId="0" xfId="0" applyFont="1" applyFill="1"/>
    <xf numFmtId="0" fontId="30" fillId="0" borderId="18" xfId="0" applyFont="1" applyBorder="1" applyAlignment="1">
      <alignment horizontal="left" vertical="top" wrapText="1"/>
    </xf>
    <xf numFmtId="0" fontId="3" fillId="9" borderId="0" xfId="0" applyFont="1" applyFill="1"/>
    <xf numFmtId="0" fontId="31" fillId="9" borderId="0" xfId="0" applyFont="1" applyFill="1"/>
    <xf numFmtId="0" fontId="32" fillId="0" borderId="0" xfId="0" applyFont="1"/>
    <xf numFmtId="0" fontId="13" fillId="0" borderId="0" xfId="0" applyFont="1"/>
    <xf numFmtId="0" fontId="13" fillId="0" borderId="0" xfId="0" applyFont="1" applyAlignment="1">
      <alignment horizontal="center"/>
    </xf>
    <xf numFmtId="0" fontId="33" fillId="0" borderId="30" xfId="4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35" xfId="0" applyFont="1" applyBorder="1" applyAlignment="1">
      <alignment vertical="center"/>
    </xf>
    <xf numFmtId="0" fontId="21" fillId="10" borderId="18" xfId="4" applyFont="1" applyFill="1" applyBorder="1" applyAlignment="1">
      <alignment vertical="center"/>
    </xf>
    <xf numFmtId="0" fontId="28" fillId="10" borderId="12" xfId="4" applyFont="1" applyFill="1" applyBorder="1" applyAlignment="1">
      <alignment vertical="center"/>
    </xf>
    <xf numFmtId="0" fontId="28" fillId="10" borderId="10" xfId="0" applyFont="1" applyFill="1" applyBorder="1" applyAlignment="1">
      <alignment vertical="center"/>
    </xf>
    <xf numFmtId="0" fontId="28" fillId="10" borderId="31" xfId="0" applyFont="1" applyFill="1" applyBorder="1" applyAlignment="1">
      <alignment vertical="center"/>
    </xf>
    <xf numFmtId="0" fontId="28" fillId="10" borderId="10" xfId="4" applyFont="1" applyFill="1" applyBorder="1" applyAlignment="1">
      <alignment vertical="center"/>
    </xf>
    <xf numFmtId="0" fontId="30" fillId="0" borderId="18" xfId="0" applyFont="1" applyBorder="1" applyAlignment="1">
      <alignment vertical="center"/>
    </xf>
    <xf numFmtId="0" fontId="13" fillId="0" borderId="12" xfId="4" applyFont="1" applyBorder="1" applyAlignment="1">
      <alignment horizontal="center" vertical="center"/>
    </xf>
    <xf numFmtId="0" fontId="13" fillId="0" borderId="18" xfId="4" applyFont="1" applyBorder="1" applyAlignment="1">
      <alignment horizontal="center" vertical="center"/>
    </xf>
    <xf numFmtId="0" fontId="13" fillId="8" borderId="15" xfId="4" applyFont="1" applyFill="1" applyBorder="1" applyAlignment="1">
      <alignment horizontal="left"/>
    </xf>
    <xf numFmtId="0" fontId="13" fillId="0" borderId="10" xfId="4" applyFont="1" applyBorder="1" applyAlignment="1">
      <alignment horizontal="center" vertical="center"/>
    </xf>
    <xf numFmtId="0" fontId="13" fillId="0" borderId="30" xfId="4" applyFont="1" applyBorder="1" applyAlignment="1">
      <alignment horizontal="center" vertical="center"/>
    </xf>
    <xf numFmtId="0" fontId="13" fillId="0" borderId="35" xfId="4" applyFont="1" applyBorder="1" applyAlignment="1">
      <alignment horizontal="center" vertical="center"/>
    </xf>
    <xf numFmtId="0" fontId="28" fillId="10" borderId="18" xfId="0" applyFont="1" applyFill="1" applyBorder="1" applyAlignment="1">
      <alignment vertical="center"/>
    </xf>
    <xf numFmtId="0" fontId="28" fillId="10" borderId="30" xfId="0" applyFont="1" applyFill="1" applyBorder="1" applyAlignment="1">
      <alignment vertical="center"/>
    </xf>
    <xf numFmtId="9" fontId="3" fillId="0" borderId="3" xfId="3" applyFont="1" applyFill="1" applyBorder="1"/>
    <xf numFmtId="0" fontId="13" fillId="0" borderId="12" xfId="4" applyFont="1" applyBorder="1" applyAlignment="1">
      <alignment vertical="center"/>
    </xf>
    <xf numFmtId="0" fontId="3" fillId="0" borderId="35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13" fillId="0" borderId="38" xfId="4" applyFont="1" applyBorder="1" applyAlignment="1">
      <alignment horizontal="center" vertical="center"/>
    </xf>
    <xf numFmtId="0" fontId="3" fillId="0" borderId="38" xfId="0" applyFont="1" applyBorder="1" applyAlignment="1">
      <alignment vertical="center"/>
    </xf>
    <xf numFmtId="0" fontId="7" fillId="0" borderId="38" xfId="0" applyFont="1" applyBorder="1" applyAlignment="1">
      <alignment vertic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0" fontId="22" fillId="0" borderId="7" xfId="0" applyFont="1" applyBorder="1" applyAlignment="1">
      <alignment horizontal="center"/>
    </xf>
    <xf numFmtId="0" fontId="26" fillId="0" borderId="4" xfId="0" applyFont="1" applyBorder="1" applyAlignment="1">
      <alignment horizontal="center"/>
    </xf>
    <xf numFmtId="0" fontId="26" fillId="0" borderId="5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13" fillId="0" borderId="18" xfId="4" applyFont="1" applyBorder="1" applyAlignment="1">
      <alignment horizontal="center" vertical="center"/>
    </xf>
    <xf numFmtId="0" fontId="13" fillId="0" borderId="12" xfId="4" applyFont="1" applyBorder="1" applyAlignment="1">
      <alignment horizontal="center" vertical="center"/>
    </xf>
    <xf numFmtId="0" fontId="13" fillId="0" borderId="19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3" fillId="0" borderId="10" xfId="4" applyFont="1" applyBorder="1" applyAlignment="1">
      <alignment horizontal="center" vertical="center"/>
    </xf>
    <xf numFmtId="0" fontId="19" fillId="0" borderId="18" xfId="4" applyFont="1" applyBorder="1" applyAlignment="1">
      <alignment horizontal="left" vertical="center"/>
    </xf>
    <xf numFmtId="0" fontId="19" fillId="0" borderId="12" xfId="4" applyFont="1" applyBorder="1" applyAlignment="1">
      <alignment horizontal="left" vertical="center"/>
    </xf>
    <xf numFmtId="0" fontId="13" fillId="0" borderId="18" xfId="4" applyFont="1" applyBorder="1" applyAlignment="1">
      <alignment horizontal="left" vertical="center"/>
    </xf>
    <xf numFmtId="0" fontId="13" fillId="0" borderId="12" xfId="4" applyFont="1" applyBorder="1" applyAlignment="1">
      <alignment horizontal="left" vertical="center"/>
    </xf>
    <xf numFmtId="9" fontId="13" fillId="0" borderId="10" xfId="4" applyNumberFormat="1" applyFont="1" applyBorder="1" applyAlignment="1">
      <alignment vertical="center"/>
    </xf>
    <xf numFmtId="181" fontId="13" fillId="0" borderId="10" xfId="4" applyNumberFormat="1" applyFont="1" applyBorder="1" applyAlignment="1">
      <alignment vertical="center"/>
    </xf>
    <xf numFmtId="0" fontId="13" fillId="0" borderId="18" xfId="4" applyFont="1" applyBorder="1" applyAlignment="1">
      <alignment vertical="center"/>
    </xf>
    <xf numFmtId="0" fontId="13" fillId="0" borderId="12" xfId="4" applyFont="1" applyBorder="1" applyAlignment="1">
      <alignment vertical="center"/>
    </xf>
    <xf numFmtId="9" fontId="21" fillId="10" borderId="10" xfId="4" applyNumberFormat="1" applyFont="1" applyFill="1" applyBorder="1" applyAlignment="1">
      <alignment vertical="center"/>
    </xf>
    <xf numFmtId="181" fontId="21" fillId="10" borderId="10" xfId="4" applyNumberFormat="1" applyFont="1" applyFill="1" applyBorder="1" applyAlignment="1">
      <alignment vertical="center"/>
    </xf>
    <xf numFmtId="0" fontId="13" fillId="0" borderId="31" xfId="4" applyFont="1" applyBorder="1" applyAlignment="1">
      <alignment horizontal="center" vertical="center"/>
    </xf>
    <xf numFmtId="0" fontId="13" fillId="0" borderId="25" xfId="4" applyFont="1" applyBorder="1" applyAlignment="1">
      <alignment horizontal="center" vertical="center"/>
    </xf>
    <xf numFmtId="55" fontId="13" fillId="0" borderId="32" xfId="4" applyNumberFormat="1" applyFont="1" applyBorder="1" applyAlignment="1">
      <alignment horizontal="center" vertical="center"/>
    </xf>
    <xf numFmtId="0" fontId="13" fillId="0" borderId="26" xfId="4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13" fillId="0" borderId="30" xfId="4" applyFont="1" applyBorder="1" applyAlignment="1">
      <alignment horizontal="center" vertical="center"/>
    </xf>
    <xf numFmtId="0" fontId="19" fillId="0" borderId="31" xfId="4" applyFont="1" applyBorder="1" applyAlignment="1">
      <alignment horizontal="left" vertical="center"/>
    </xf>
    <xf numFmtId="0" fontId="19" fillId="0" borderId="25" xfId="4" applyFont="1" applyBorder="1" applyAlignment="1">
      <alignment horizontal="left" vertical="center"/>
    </xf>
    <xf numFmtId="0" fontId="13" fillId="0" borderId="31" xfId="4" applyFont="1" applyBorder="1" applyAlignment="1">
      <alignment horizontal="left" vertical="center"/>
    </xf>
    <xf numFmtId="0" fontId="13" fillId="0" borderId="25" xfId="4" applyFont="1" applyBorder="1" applyAlignment="1">
      <alignment horizontal="left" vertical="center"/>
    </xf>
    <xf numFmtId="9" fontId="13" fillId="0" borderId="30" xfId="4" applyNumberFormat="1" applyFont="1" applyBorder="1" applyAlignment="1">
      <alignment vertical="center"/>
    </xf>
    <xf numFmtId="9" fontId="13" fillId="0" borderId="18" xfId="4" applyNumberFormat="1" applyFont="1" applyBorder="1" applyAlignment="1">
      <alignment vertical="center"/>
    </xf>
    <xf numFmtId="181" fontId="13" fillId="0" borderId="30" xfId="4" applyNumberFormat="1" applyFont="1" applyBorder="1" applyAlignment="1">
      <alignment vertical="center"/>
    </xf>
    <xf numFmtId="181" fontId="13" fillId="0" borderId="18" xfId="4" applyNumberFormat="1" applyFont="1" applyBorder="1" applyAlignment="1">
      <alignment vertical="center"/>
    </xf>
    <xf numFmtId="0" fontId="13" fillId="0" borderId="31" xfId="4" applyFont="1" applyBorder="1" applyAlignment="1">
      <alignment vertical="center"/>
    </xf>
    <xf numFmtId="0" fontId="13" fillId="0" borderId="25" xfId="4" applyFont="1" applyBorder="1" applyAlignment="1">
      <alignment vertical="center"/>
    </xf>
    <xf numFmtId="0" fontId="34" fillId="0" borderId="31" xfId="4" applyFont="1" applyBorder="1" applyAlignment="1">
      <alignment horizontal="left" vertical="center"/>
    </xf>
    <xf numFmtId="0" fontId="34" fillId="0" borderId="25" xfId="4" applyFont="1" applyBorder="1" applyAlignment="1">
      <alignment horizontal="left" vertical="center"/>
    </xf>
    <xf numFmtId="9" fontId="13" fillId="10" borderId="31" xfId="4" applyNumberFormat="1" applyFont="1" applyFill="1" applyBorder="1" applyAlignment="1">
      <alignment vertical="center"/>
    </xf>
    <xf numFmtId="9" fontId="13" fillId="10" borderId="25" xfId="4" applyNumberFormat="1" applyFont="1" applyFill="1" applyBorder="1" applyAlignment="1">
      <alignment vertical="center"/>
    </xf>
    <xf numFmtId="181" fontId="13" fillId="10" borderId="31" xfId="4" applyNumberFormat="1" applyFont="1" applyFill="1" applyBorder="1" applyAlignment="1">
      <alignment vertical="center"/>
    </xf>
    <xf numFmtId="181" fontId="13" fillId="10" borderId="25" xfId="4" applyNumberFormat="1" applyFont="1" applyFill="1" applyBorder="1" applyAlignment="1">
      <alignment vertical="center"/>
    </xf>
    <xf numFmtId="55" fontId="13" fillId="0" borderId="26" xfId="4" applyNumberFormat="1" applyFont="1" applyBorder="1" applyAlignment="1">
      <alignment horizontal="center" vertical="center"/>
    </xf>
    <xf numFmtId="0" fontId="19" fillId="0" borderId="10" xfId="4" applyFont="1" applyBorder="1" applyAlignment="1">
      <alignment vertical="center"/>
    </xf>
    <xf numFmtId="55" fontId="13" fillId="0" borderId="19" xfId="4" applyNumberFormat="1" applyFont="1" applyBorder="1" applyAlignment="1">
      <alignment horizontal="center" vertical="center"/>
    </xf>
    <xf numFmtId="9" fontId="13" fillId="0" borderId="12" xfId="4" applyNumberFormat="1" applyFont="1" applyBorder="1" applyAlignment="1">
      <alignment vertical="center"/>
    </xf>
    <xf numFmtId="0" fontId="13" fillId="0" borderId="10" xfId="4" applyFont="1" applyBorder="1" applyAlignment="1">
      <alignment vertical="center"/>
    </xf>
    <xf numFmtId="0" fontId="19" fillId="0" borderId="18" xfId="4" applyFont="1" applyBorder="1" applyAlignment="1">
      <alignment vertical="center"/>
    </xf>
    <xf numFmtId="0" fontId="19" fillId="0" borderId="12" xfId="4" applyFont="1" applyBorder="1" applyAlignment="1">
      <alignment vertical="center"/>
    </xf>
    <xf numFmtId="0" fontId="13" fillId="0" borderId="21" xfId="4" applyFont="1" applyBorder="1" applyAlignment="1">
      <alignment horizontal="center" vertical="center"/>
    </xf>
    <xf numFmtId="0" fontId="13" fillId="0" borderId="21" xfId="4" applyFont="1" applyBorder="1" applyAlignment="1">
      <alignment vertical="center"/>
    </xf>
    <xf numFmtId="0" fontId="13" fillId="8" borderId="23" xfId="4" applyFont="1" applyFill="1" applyBorder="1" applyAlignment="1">
      <alignment horizontal="left"/>
    </xf>
    <xf numFmtId="0" fontId="13" fillId="8" borderId="24" xfId="4" applyFont="1" applyFill="1" applyBorder="1" applyAlignment="1">
      <alignment horizontal="left"/>
    </xf>
    <xf numFmtId="0" fontId="13" fillId="8" borderId="15" xfId="4" applyFont="1" applyFill="1" applyBorder="1" applyAlignment="1">
      <alignment horizontal="left"/>
    </xf>
    <xf numFmtId="0" fontId="13" fillId="8" borderId="16" xfId="4" applyFont="1" applyFill="1" applyBorder="1" applyAlignment="1">
      <alignment horizontal="left"/>
    </xf>
    <xf numFmtId="0" fontId="3" fillId="0" borderId="20" xfId="0" applyFont="1" applyBorder="1" applyAlignment="1">
      <alignment horizontal="center" vertical="center"/>
    </xf>
    <xf numFmtId="0" fontId="19" fillId="0" borderId="21" xfId="4" applyFont="1" applyBorder="1" applyAlignment="1">
      <alignment vertical="center"/>
    </xf>
    <xf numFmtId="9" fontId="13" fillId="0" borderId="21" xfId="4" applyNumberFormat="1" applyFont="1" applyBorder="1" applyAlignment="1">
      <alignment vertical="center"/>
    </xf>
    <xf numFmtId="181" fontId="13" fillId="0" borderId="28" xfId="4" applyNumberFormat="1" applyFont="1" applyBorder="1" applyAlignment="1">
      <alignment vertical="center"/>
    </xf>
    <xf numFmtId="0" fontId="13" fillId="0" borderId="22" xfId="4" applyFont="1" applyBorder="1" applyAlignment="1">
      <alignment horizontal="center" vertical="center"/>
    </xf>
    <xf numFmtId="9" fontId="13" fillId="10" borderId="18" xfId="4" applyNumberFormat="1" applyFont="1" applyFill="1" applyBorder="1" applyAlignment="1">
      <alignment vertical="center"/>
    </xf>
    <xf numFmtId="9" fontId="13" fillId="10" borderId="12" xfId="4" applyNumberFormat="1" applyFont="1" applyFill="1" applyBorder="1" applyAlignment="1">
      <alignment vertical="center"/>
    </xf>
    <xf numFmtId="181" fontId="13" fillId="10" borderId="10" xfId="4" applyNumberFormat="1" applyFont="1" applyFill="1" applyBorder="1" applyAlignment="1">
      <alignment vertical="center"/>
    </xf>
    <xf numFmtId="181" fontId="13" fillId="0" borderId="12" xfId="4" applyNumberFormat="1" applyFont="1" applyBorder="1" applyAlignment="1">
      <alignment vertical="center"/>
    </xf>
    <xf numFmtId="0" fontId="13" fillId="0" borderId="39" xfId="4" applyFont="1" applyBorder="1" applyAlignment="1">
      <alignment horizontal="center" vertical="center"/>
    </xf>
    <xf numFmtId="0" fontId="13" fillId="0" borderId="40" xfId="4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13" fillId="0" borderId="35" xfId="4" applyFont="1" applyBorder="1" applyAlignment="1">
      <alignment horizontal="center" vertical="center"/>
    </xf>
    <xf numFmtId="0" fontId="19" fillId="10" borderId="25" xfId="4" applyFont="1" applyFill="1" applyBorder="1" applyAlignment="1">
      <alignment horizontal="left" vertical="center"/>
    </xf>
    <xf numFmtId="0" fontId="19" fillId="10" borderId="34" xfId="4" applyFont="1" applyFill="1" applyBorder="1" applyAlignment="1">
      <alignment horizontal="left" vertical="center"/>
    </xf>
    <xf numFmtId="0" fontId="13" fillId="0" borderId="34" xfId="4" applyFont="1" applyBorder="1" applyAlignment="1">
      <alignment horizontal="left" vertical="center"/>
    </xf>
    <xf numFmtId="9" fontId="13" fillId="0" borderId="35" xfId="4" applyNumberFormat="1" applyFont="1" applyBorder="1" applyAlignment="1">
      <alignment vertical="center"/>
    </xf>
    <xf numFmtId="181" fontId="13" fillId="0" borderId="35" xfId="4" applyNumberFormat="1" applyFont="1" applyBorder="1" applyAlignment="1">
      <alignment vertical="center"/>
    </xf>
    <xf numFmtId="0" fontId="13" fillId="0" borderId="34" xfId="4" applyFont="1" applyBorder="1" applyAlignment="1">
      <alignment vertical="center"/>
    </xf>
    <xf numFmtId="0" fontId="13" fillId="0" borderId="34" xfId="4" applyFont="1" applyBorder="1" applyAlignment="1">
      <alignment horizontal="center" vertical="center"/>
    </xf>
    <xf numFmtId="0" fontId="13" fillId="0" borderId="36" xfId="4" applyFont="1" applyBorder="1" applyAlignment="1">
      <alignment horizontal="center" vertical="center"/>
    </xf>
    <xf numFmtId="0" fontId="13" fillId="0" borderId="38" xfId="4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19" fillId="10" borderId="31" xfId="4" applyFont="1" applyFill="1" applyBorder="1" applyAlignment="1">
      <alignment horizontal="left" vertical="center"/>
    </xf>
    <xf numFmtId="0" fontId="19" fillId="10" borderId="39" xfId="4" applyFont="1" applyFill="1" applyBorder="1" applyAlignment="1">
      <alignment horizontal="left" vertical="center"/>
    </xf>
    <xf numFmtId="0" fontId="13" fillId="0" borderId="39" xfId="4" applyFont="1" applyBorder="1" applyAlignment="1">
      <alignment horizontal="left" vertical="center"/>
    </xf>
    <xf numFmtId="9" fontId="13" fillId="0" borderId="38" xfId="4" applyNumberFormat="1" applyFont="1" applyBorder="1" applyAlignment="1">
      <alignment vertical="center"/>
    </xf>
    <xf numFmtId="181" fontId="13" fillId="0" borderId="38" xfId="4" applyNumberFormat="1" applyFont="1" applyBorder="1" applyAlignment="1">
      <alignment vertical="center"/>
    </xf>
    <xf numFmtId="0" fontId="13" fillId="0" borderId="39" xfId="4" applyFont="1" applyBorder="1" applyAlignment="1">
      <alignment vertical="center"/>
    </xf>
    <xf numFmtId="0" fontId="6" fillId="4" borderId="8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</cellXfs>
  <cellStyles count="6">
    <cellStyle name="パーセント" xfId="3" builtinId="5"/>
    <cellStyle name="桁区切り" xfId="1" builtinId="6"/>
    <cellStyle name="通貨" xfId="2" builtinId="7"/>
    <cellStyle name="標準" xfId="0" builtinId="0"/>
    <cellStyle name="標準 2" xfId="4" xr:uid="{8BCFFDAD-9219-4234-9E5F-D45C2D8A105B}"/>
    <cellStyle name="標準 23" xfId="5" xr:uid="{EF1B695D-2602-446E-BAA2-AF34EAAAFBB8}"/>
  </cellStyles>
  <dxfs count="40"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6" tint="-0.24994659260841701"/>
      </font>
      <fill>
        <patternFill>
          <bgColor theme="6" tint="0.79998168889431442"/>
        </patternFill>
      </fill>
    </dxf>
    <dxf>
      <font>
        <b/>
        <i val="0"/>
        <color theme="3" tint="-0.24994659260841701"/>
      </font>
      <fill>
        <patternFill>
          <bgColor theme="4" tint="0.79998168889431442"/>
        </patternFill>
      </fill>
    </dxf>
    <dxf>
      <font>
        <b/>
        <i val="0"/>
        <color theme="1"/>
      </font>
      <fill>
        <patternFill>
          <bgColor theme="0" tint="-4.9989318521683403E-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en-US"/>
              <a:t>ALL_Daily_AFCV_Condition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領域別コンディション!$D$3</c:f>
              <c:strCache>
                <c:ptCount val="1"/>
                <c:pt idx="0">
                  <c:v>Daily_AFCV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領域別コンディション!$D$5:$D$32</c:f>
              <c:numCache>
                <c:formatCode>_-* #,##0_-;\-* #,##0_-;_-* "-"_-;_-@_-</c:formatCode>
                <c:ptCount val="28"/>
                <c:pt idx="0">
                  <c:v>895.42857142857144</c:v>
                </c:pt>
                <c:pt idx="1">
                  <c:v>839.85714285714289</c:v>
                </c:pt>
                <c:pt idx="2">
                  <c:v>926.28571428571433</c:v>
                </c:pt>
                <c:pt idx="3">
                  <c:v>1024.7142857142858</c:v>
                </c:pt>
                <c:pt idx="4">
                  <c:v>1175</c:v>
                </c:pt>
                <c:pt idx="5">
                  <c:v>1038.5714285714287</c:v>
                </c:pt>
                <c:pt idx="6">
                  <c:v>1031.1428571428571</c:v>
                </c:pt>
                <c:pt idx="7">
                  <c:v>973.28571428571433</c:v>
                </c:pt>
                <c:pt idx="8">
                  <c:v>990.85714285714289</c:v>
                </c:pt>
                <c:pt idx="9">
                  <c:v>1036.8571428571429</c:v>
                </c:pt>
                <c:pt idx="10">
                  <c:v>1017.1428571428571</c:v>
                </c:pt>
                <c:pt idx="11">
                  <c:v>982.57142857142856</c:v>
                </c:pt>
                <c:pt idx="12">
                  <c:v>1027.5714285714287</c:v>
                </c:pt>
                <c:pt idx="13">
                  <c:v>1027.8571428571429</c:v>
                </c:pt>
                <c:pt idx="14">
                  <c:v>1142</c:v>
                </c:pt>
                <c:pt idx="15">
                  <c:v>1148.1428571428571</c:v>
                </c:pt>
                <c:pt idx="16">
                  <c:v>1218.8571428571429</c:v>
                </c:pt>
                <c:pt idx="17">
                  <c:v>1205.8571428571429</c:v>
                </c:pt>
                <c:pt idx="18">
                  <c:v>1229</c:v>
                </c:pt>
                <c:pt idx="19">
                  <c:v>1299</c:v>
                </c:pt>
                <c:pt idx="20">
                  <c:v>1337</c:v>
                </c:pt>
                <c:pt idx="21">
                  <c:v>1376.2857142857144</c:v>
                </c:pt>
                <c:pt idx="22">
                  <c:v>1225.8571428571429</c:v>
                </c:pt>
                <c:pt idx="23">
                  <c:v>1179.4285714285716</c:v>
                </c:pt>
                <c:pt idx="24">
                  <c:v>1105.8571428428572</c:v>
                </c:pt>
                <c:pt idx="25">
                  <c:v>1094.7142857142858</c:v>
                </c:pt>
                <c:pt idx="26">
                  <c:v>1165.71</c:v>
                </c:pt>
                <c:pt idx="27">
                  <c:v>1163.1428571428571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50-45CE-A38B-75F64E57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705359"/>
        <c:axId val="1911704879"/>
      </c:barChart>
      <c:lineChart>
        <c:grouping val="standard"/>
        <c:varyColors val="0"/>
        <c:ser>
          <c:idx val="1"/>
          <c:order val="1"/>
          <c:tx>
            <c:strRef>
              <c:f>領域別コンディション!$E$3</c:f>
              <c:strCache>
                <c:ptCount val="1"/>
                <c:pt idx="0">
                  <c:v>変化率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領域別コンディション!$E$5:$E$32</c:f>
              <c:numCache>
                <c:formatCode>0%</c:formatCode>
                <c:ptCount val="28"/>
                <c:pt idx="0">
                  <c:v>0.70450713723727099</c:v>
                </c:pt>
                <c:pt idx="1">
                  <c:v>0.66078453411262228</c:v>
                </c:pt>
                <c:pt idx="2">
                  <c:v>0.72878498370237166</c:v>
                </c:pt>
                <c:pt idx="3">
                  <c:v>0.80622681802854901</c:v>
                </c:pt>
                <c:pt idx="4">
                  <c:v>0.9244689221085759</c:v>
                </c:pt>
                <c:pt idx="5">
                  <c:v>0.81712936945037662</c:v>
                </c:pt>
                <c:pt idx="6">
                  <c:v>0.81128470270877817</c:v>
                </c:pt>
                <c:pt idx="7">
                  <c:v>0.7657637405867147</c:v>
                </c:pt>
                <c:pt idx="8">
                  <c:v>0.77958862537934137</c:v>
                </c:pt>
                <c:pt idx="9">
                  <c:v>0.81578060020231546</c:v>
                </c:pt>
                <c:pt idx="10">
                  <c:v>0.80026975384961219</c:v>
                </c:pt>
                <c:pt idx="11">
                  <c:v>0.77306957401371246</c:v>
                </c:pt>
                <c:pt idx="12">
                  <c:v>0.8084747667753176</c:v>
                </c:pt>
                <c:pt idx="13">
                  <c:v>0.80869956164999446</c:v>
                </c:pt>
                <c:pt idx="14">
                  <c:v>0.89850511408339895</c:v>
                </c:pt>
                <c:pt idx="15">
                  <c:v>0.90333820388895125</c:v>
                </c:pt>
                <c:pt idx="16">
                  <c:v>0.9589749353714736</c:v>
                </c:pt>
                <c:pt idx="17">
                  <c:v>0.94874676857367657</c:v>
                </c:pt>
                <c:pt idx="18">
                  <c:v>0.96695515342250193</c:v>
                </c:pt>
                <c:pt idx="19">
                  <c:v>1.022029897718332</c:v>
                </c:pt>
                <c:pt idx="20">
                  <c:v>1.0519276160503541</c:v>
                </c:pt>
                <c:pt idx="21">
                  <c:v>1.082836911318422</c:v>
                </c:pt>
                <c:pt idx="22">
                  <c:v>0.96448240980105659</c:v>
                </c:pt>
                <c:pt idx="23">
                  <c:v>0.92795324266606727</c:v>
                </c:pt>
                <c:pt idx="24">
                  <c:v>0.87006856242553676</c:v>
                </c:pt>
                <c:pt idx="25">
                  <c:v>0.86130156232437904</c:v>
                </c:pt>
                <c:pt idx="26">
                  <c:v>0.91715971675845798</c:v>
                </c:pt>
                <c:pt idx="27">
                  <c:v>0.9151399348094863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50-45CE-A38B-75F64E57F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357999"/>
        <c:axId val="2092356079"/>
      </c:lineChart>
      <c:catAx>
        <c:axId val="191170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4879"/>
        <c:crosses val="autoZero"/>
        <c:auto val="1"/>
        <c:lblAlgn val="ctr"/>
        <c:lblOffset val="100"/>
        <c:noMultiLvlLbl val="0"/>
      </c:catAx>
      <c:valAx>
        <c:axId val="191170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5359"/>
        <c:crosses val="autoZero"/>
        <c:crossBetween val="between"/>
      </c:valAx>
      <c:valAx>
        <c:axId val="209235607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092357999"/>
        <c:crosses val="max"/>
        <c:crossBetween val="between"/>
      </c:valAx>
      <c:catAx>
        <c:axId val="20923579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2356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en-US"/>
              <a:t>ALL_Daily_CPA_Condition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ja-JP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領域別コンディション!$H$3</c:f>
              <c:strCache>
                <c:ptCount val="1"/>
                <c:pt idx="0">
                  <c:v>CPA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領域別コンディション!$H$5:$H$32</c:f>
              <c:numCache>
                <c:formatCode>_-"¥"* #,##0_-;\-"¥"* #,##0_-;_-"¥"* "-"_-;_-@_-</c:formatCode>
                <c:ptCount val="28"/>
                <c:pt idx="0">
                  <c:v>4131.3208359923419</c:v>
                </c:pt>
                <c:pt idx="1">
                  <c:v>3787.1389692124508</c:v>
                </c:pt>
                <c:pt idx="2">
                  <c:v>3485.3448488587287</c:v>
                </c:pt>
                <c:pt idx="3">
                  <c:v>3801.9572006134113</c:v>
                </c:pt>
                <c:pt idx="4">
                  <c:v>3708.9602431610938</c:v>
                </c:pt>
                <c:pt idx="5">
                  <c:v>3292.0371389270972</c:v>
                </c:pt>
                <c:pt idx="6">
                  <c:v>3623.8879190911612</c:v>
                </c:pt>
                <c:pt idx="7">
                  <c:v>4194.3967415235575</c:v>
                </c:pt>
                <c:pt idx="8">
                  <c:v>3788.8571222606688</c:v>
                </c:pt>
                <c:pt idx="9">
                  <c:v>4216.1997795535963</c:v>
                </c:pt>
                <c:pt idx="10">
                  <c:v>3810.2272471910114</c:v>
                </c:pt>
                <c:pt idx="11">
                  <c:v>3265.1703983716197</c:v>
                </c:pt>
                <c:pt idx="12">
                  <c:v>3397.0075072987624</c:v>
                </c:pt>
                <c:pt idx="13">
                  <c:v>3368.282279360667</c:v>
                </c:pt>
                <c:pt idx="14">
                  <c:v>3590.9414560920691</c:v>
                </c:pt>
                <c:pt idx="15">
                  <c:v>3673.9784745551824</c:v>
                </c:pt>
                <c:pt idx="16">
                  <c:v>3569.3530239099855</c:v>
                </c:pt>
                <c:pt idx="17">
                  <c:v>3331.3857362871699</c:v>
                </c:pt>
                <c:pt idx="18">
                  <c:v>3339.1709868650469</c:v>
                </c:pt>
                <c:pt idx="19">
                  <c:v>3398.2040030792919</c:v>
                </c:pt>
                <c:pt idx="20">
                  <c:v>3218.7166363927768</c:v>
                </c:pt>
                <c:pt idx="21">
                  <c:v>3567.2522490851579</c:v>
                </c:pt>
                <c:pt idx="22">
                  <c:v>3241.5078115366696</c:v>
                </c:pt>
                <c:pt idx="23">
                  <c:v>3265.0046554451901</c:v>
                </c:pt>
                <c:pt idx="24">
                  <c:v>3317.992869138528</c:v>
                </c:pt>
                <c:pt idx="25">
                  <c:v>3159.4173808699356</c:v>
                </c:pt>
                <c:pt idx="26">
                  <c:v>3364.0633752697559</c:v>
                </c:pt>
                <c:pt idx="27">
                  <c:v>3400.7183057313227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5-4A60-BC9B-096B53199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705359"/>
        <c:axId val="1911704879"/>
      </c:barChart>
      <c:lineChart>
        <c:grouping val="standard"/>
        <c:varyColors val="0"/>
        <c:ser>
          <c:idx val="1"/>
          <c:order val="1"/>
          <c:tx>
            <c:strRef>
              <c:f>領域別コンディション!$I$3</c:f>
              <c:strCache>
                <c:ptCount val="1"/>
                <c:pt idx="0">
                  <c:v>変化率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領域別コンディション!$I$5:$I$32</c:f>
              <c:numCache>
                <c:formatCode>0%</c:formatCode>
                <c:ptCount val="28"/>
                <c:pt idx="0">
                  <c:v>1.1449262342777085</c:v>
                </c:pt>
                <c:pt idx="1">
                  <c:v>1.0495420062589425</c:v>
                </c:pt>
                <c:pt idx="2">
                  <c:v>0.96590483077418154</c:v>
                </c:pt>
                <c:pt idx="3">
                  <c:v>1.053648630399278</c:v>
                </c:pt>
                <c:pt idx="4">
                  <c:v>1.0278760843971491</c:v>
                </c:pt>
                <c:pt idx="5">
                  <c:v>0.91233284322465769</c:v>
                </c:pt>
                <c:pt idx="6">
                  <c:v>1.0042997175388619</c:v>
                </c:pt>
                <c:pt idx="7">
                  <c:v>1.1624066629010072</c:v>
                </c:pt>
                <c:pt idx="8">
                  <c:v>1.050018163540718</c:v>
                </c:pt>
                <c:pt idx="9">
                  <c:v>1.1684490089734951</c:v>
                </c:pt>
                <c:pt idx="10">
                  <c:v>1.0559405350131492</c:v>
                </c:pt>
                <c:pt idx="11">
                  <c:v>0.90488717698070198</c:v>
                </c:pt>
                <c:pt idx="12">
                  <c:v>0.94142361911489336</c:v>
                </c:pt>
                <c:pt idx="13">
                  <c:v>0.93346290428359591</c:v>
                </c:pt>
                <c:pt idx="14">
                  <c:v>0.99516915825484564</c:v>
                </c:pt>
                <c:pt idx="15">
                  <c:v>1.0181814743224706</c:v>
                </c:pt>
                <c:pt idx="16">
                  <c:v>0.9891862865914165</c:v>
                </c:pt>
                <c:pt idx="17">
                  <c:v>0.92323764660063579</c:v>
                </c:pt>
                <c:pt idx="18">
                  <c:v>0.92539519813945148</c:v>
                </c:pt>
                <c:pt idx="19">
                  <c:v>0.9417552078398348</c:v>
                </c:pt>
                <c:pt idx="20">
                  <c:v>0.89201329647568073</c:v>
                </c:pt>
                <c:pt idx="21">
                  <c:v>0.98860409210574485</c:v>
                </c:pt>
                <c:pt idx="22">
                  <c:v>0.8983294881654974</c:v>
                </c:pt>
                <c:pt idx="23">
                  <c:v>0.90484124411028388</c:v>
                </c:pt>
                <c:pt idx="24">
                  <c:v>0.91952603824112833</c:v>
                </c:pt>
                <c:pt idx="25">
                  <c:v>0.87557950301917953</c:v>
                </c:pt>
                <c:pt idx="26">
                  <c:v>0.93229370582011584</c:v>
                </c:pt>
                <c:pt idx="27">
                  <c:v>0.94245200462263246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35-4A60-BC9B-096B53199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357999"/>
        <c:axId val="2092356079"/>
      </c:lineChart>
      <c:catAx>
        <c:axId val="191170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4879"/>
        <c:crosses val="autoZero"/>
        <c:auto val="1"/>
        <c:lblAlgn val="ctr"/>
        <c:lblOffset val="100"/>
        <c:noMultiLvlLbl val="0"/>
      </c:catAx>
      <c:valAx>
        <c:axId val="191170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¥&quot;* #,##0_-;\-&quot;¥&quot;* #,##0_-;_-&quot;¥&quot;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5359"/>
        <c:crosses val="autoZero"/>
        <c:crossBetween val="between"/>
      </c:valAx>
      <c:valAx>
        <c:axId val="209235607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092357999"/>
        <c:crosses val="max"/>
        <c:crossBetween val="between"/>
      </c:valAx>
      <c:catAx>
        <c:axId val="20923579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2356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en-US"/>
              <a:t>Affiliate_Daily_AFCV_Condition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ja-JP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領域別コンディション!$D$3</c:f>
              <c:strCache>
                <c:ptCount val="1"/>
                <c:pt idx="0">
                  <c:v>Daily_AFCV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領域別コンディション!$D$36:$D$63</c:f>
              <c:numCache>
                <c:formatCode>_-* #,##0_-;\-* #,##0_-;_-* "-"_-;_-@_-</c:formatCode>
                <c:ptCount val="28"/>
                <c:pt idx="0">
                  <c:v>355.57142857142856</c:v>
                </c:pt>
                <c:pt idx="1">
                  <c:v>318.42857142857144</c:v>
                </c:pt>
                <c:pt idx="2">
                  <c:v>312.57142857142856</c:v>
                </c:pt>
                <c:pt idx="3">
                  <c:v>342.28571428571428</c:v>
                </c:pt>
                <c:pt idx="4">
                  <c:v>457.28571428571428</c:v>
                </c:pt>
                <c:pt idx="5">
                  <c:v>317.57142857142856</c:v>
                </c:pt>
                <c:pt idx="6">
                  <c:v>343.42857142857144</c:v>
                </c:pt>
                <c:pt idx="7">
                  <c:v>362.71428571428572</c:v>
                </c:pt>
                <c:pt idx="8">
                  <c:v>351.57142857142856</c:v>
                </c:pt>
                <c:pt idx="9">
                  <c:v>366.28571428571428</c:v>
                </c:pt>
                <c:pt idx="10">
                  <c:v>351.57142857142856</c:v>
                </c:pt>
                <c:pt idx="11">
                  <c:v>324.28571428571428</c:v>
                </c:pt>
                <c:pt idx="12">
                  <c:v>331</c:v>
                </c:pt>
                <c:pt idx="13">
                  <c:v>301.28571428571428</c:v>
                </c:pt>
                <c:pt idx="14">
                  <c:v>388.71428571428572</c:v>
                </c:pt>
                <c:pt idx="15">
                  <c:v>370.28571428571428</c:v>
                </c:pt>
                <c:pt idx="16">
                  <c:v>368.14285714285717</c:v>
                </c:pt>
                <c:pt idx="17">
                  <c:v>333.71428571428572</c:v>
                </c:pt>
                <c:pt idx="18">
                  <c:v>368</c:v>
                </c:pt>
                <c:pt idx="19">
                  <c:v>394</c:v>
                </c:pt>
                <c:pt idx="20">
                  <c:v>412</c:v>
                </c:pt>
                <c:pt idx="21">
                  <c:v>377.14285714285717</c:v>
                </c:pt>
                <c:pt idx="22">
                  <c:v>358</c:v>
                </c:pt>
                <c:pt idx="23">
                  <c:v>344.42857142857144</c:v>
                </c:pt>
                <c:pt idx="24">
                  <c:v>310.14285714285717</c:v>
                </c:pt>
                <c:pt idx="25">
                  <c:v>325</c:v>
                </c:pt>
                <c:pt idx="26">
                  <c:v>335.71</c:v>
                </c:pt>
                <c:pt idx="27">
                  <c:v>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95-4A2D-8195-E80D5BF54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705359"/>
        <c:axId val="1911704879"/>
      </c:barChart>
      <c:lineChart>
        <c:grouping val="standard"/>
        <c:varyColors val="0"/>
        <c:ser>
          <c:idx val="1"/>
          <c:order val="1"/>
          <c:tx>
            <c:strRef>
              <c:f>領域別コンディション!$E$34</c:f>
              <c:strCache>
                <c:ptCount val="1"/>
                <c:pt idx="0">
                  <c:v>変化率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領域別コンディション!$E$36:$E$63</c:f>
              <c:numCache>
                <c:formatCode>0%</c:formatCode>
                <c:ptCount val="28"/>
                <c:pt idx="0">
                  <c:v>0.77805564238824632</c:v>
                </c:pt>
                <c:pt idx="1">
                  <c:v>0.69678024382619574</c:v>
                </c:pt>
                <c:pt idx="2">
                  <c:v>0.68396373866833382</c:v>
                </c:pt>
                <c:pt idx="3">
                  <c:v>0.74898405751797437</c:v>
                </c:pt>
                <c:pt idx="4">
                  <c:v>1.0006251953735543</c:v>
                </c:pt>
                <c:pt idx="5">
                  <c:v>0.69490465770553289</c:v>
                </c:pt>
                <c:pt idx="6">
                  <c:v>0.75148483901219132</c:v>
                </c:pt>
                <c:pt idx="7">
                  <c:v>0.79368552672710224</c:v>
                </c:pt>
                <c:pt idx="8">
                  <c:v>0.76930290715848704</c:v>
                </c:pt>
                <c:pt idx="9">
                  <c:v>0.80150046889653015</c:v>
                </c:pt>
                <c:pt idx="10">
                  <c:v>0.76930290715848704</c:v>
                </c:pt>
                <c:pt idx="11">
                  <c:v>0.70959674898405745</c:v>
                </c:pt>
                <c:pt idx="12">
                  <c:v>0.72428884026258211</c:v>
                </c:pt>
                <c:pt idx="13">
                  <c:v>0.65926852141294157</c:v>
                </c:pt>
                <c:pt idx="14">
                  <c:v>0.85057830572053772</c:v>
                </c:pt>
                <c:pt idx="15">
                  <c:v>0.81025320412628943</c:v>
                </c:pt>
                <c:pt idx="16">
                  <c:v>0.80556423882463279</c:v>
                </c:pt>
                <c:pt idx="17">
                  <c:v>0.73022819631134728</c:v>
                </c:pt>
                <c:pt idx="18">
                  <c:v>0.80525164113785563</c:v>
                </c:pt>
                <c:pt idx="19">
                  <c:v>0.862144420131291</c:v>
                </c:pt>
                <c:pt idx="20">
                  <c:v>0.90153172866520792</c:v>
                </c:pt>
                <c:pt idx="21">
                  <c:v>0.82525789309159114</c:v>
                </c:pt>
                <c:pt idx="22">
                  <c:v>0.78336980306345738</c:v>
                </c:pt>
                <c:pt idx="23">
                  <c:v>0.75367302281963122</c:v>
                </c:pt>
                <c:pt idx="24">
                  <c:v>0.67864957799312287</c:v>
                </c:pt>
                <c:pt idx="25">
                  <c:v>0.71115973741794314</c:v>
                </c:pt>
                <c:pt idx="26">
                  <c:v>0.73459518599562357</c:v>
                </c:pt>
                <c:pt idx="27">
                  <c:v>0.69803063457330417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95-4A2D-8195-E80D5BF54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357999"/>
        <c:axId val="2092356079"/>
      </c:lineChart>
      <c:catAx>
        <c:axId val="191170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4879"/>
        <c:crosses val="autoZero"/>
        <c:auto val="1"/>
        <c:lblAlgn val="ctr"/>
        <c:lblOffset val="100"/>
        <c:noMultiLvlLbl val="0"/>
      </c:catAx>
      <c:valAx>
        <c:axId val="191170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5359"/>
        <c:crosses val="autoZero"/>
        <c:crossBetween val="between"/>
      </c:valAx>
      <c:valAx>
        <c:axId val="209235607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092357999"/>
        <c:crosses val="max"/>
        <c:crossBetween val="between"/>
      </c:valAx>
      <c:catAx>
        <c:axId val="20923579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2356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en-US"/>
              <a:t>AFF_Daily_CPA_Condition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ja-JP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領域別コンディション!$H$34</c:f>
              <c:strCache>
                <c:ptCount val="1"/>
                <c:pt idx="0">
                  <c:v>CPA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領域別コンディション!$H$36:$H$63</c:f>
              <c:numCache>
                <c:formatCode>_-"¥"* #,##0_-;\-"¥"* #,##0_-;_-"¥"* "-"_-;_-@_-</c:formatCode>
                <c:ptCount val="28"/>
                <c:pt idx="0">
                  <c:v>6240.9353153877064</c:v>
                </c:pt>
                <c:pt idx="1">
                  <c:v>6341.872588604755</c:v>
                </c:pt>
                <c:pt idx="2">
                  <c:v>6446.9606946983549</c:v>
                </c:pt>
                <c:pt idx="3">
                  <c:v>6538.3722871452428</c:v>
                </c:pt>
                <c:pt idx="4">
                  <c:v>6352.9265854420491</c:v>
                </c:pt>
                <c:pt idx="5">
                  <c:v>6180.8209626630687</c:v>
                </c:pt>
                <c:pt idx="6">
                  <c:v>5855.3585690515802</c:v>
                </c:pt>
                <c:pt idx="7">
                  <c:v>6356.5773926742813</c:v>
                </c:pt>
                <c:pt idx="8">
                  <c:v>6600.5156440471346</c:v>
                </c:pt>
                <c:pt idx="9">
                  <c:v>6178.0273010920437</c:v>
                </c:pt>
                <c:pt idx="10">
                  <c:v>5978.5030475416506</c:v>
                </c:pt>
                <c:pt idx="11">
                  <c:v>5664.500881057269</c:v>
                </c:pt>
                <c:pt idx="12">
                  <c:v>5666.015537332758</c:v>
                </c:pt>
                <c:pt idx="13">
                  <c:v>6311.99146514936</c:v>
                </c:pt>
                <c:pt idx="14">
                  <c:v>6311.2947445791988</c:v>
                </c:pt>
                <c:pt idx="15">
                  <c:v>6625.0000000000009</c:v>
                </c:pt>
                <c:pt idx="16">
                  <c:v>6766.6899495537436</c:v>
                </c:pt>
                <c:pt idx="17">
                  <c:v>6336.6134417808216</c:v>
                </c:pt>
                <c:pt idx="18">
                  <c:v>6084.9704968944097</c:v>
                </c:pt>
                <c:pt idx="19">
                  <c:v>6484.1918056562727</c:v>
                </c:pt>
                <c:pt idx="20">
                  <c:v>6028.4251040221907</c:v>
                </c:pt>
                <c:pt idx="21">
                  <c:v>6545.8256113644729</c:v>
                </c:pt>
                <c:pt idx="22">
                  <c:v>6229.1861655212151</c:v>
                </c:pt>
                <c:pt idx="23">
                  <c:v>6296.0320956963533</c:v>
                </c:pt>
                <c:pt idx="24">
                  <c:v>6166.6041405542273</c:v>
                </c:pt>
                <c:pt idx="25">
                  <c:v>6359.1298415851952</c:v>
                </c:pt>
                <c:pt idx="26">
                  <c:v>6498.4129066305914</c:v>
                </c:pt>
                <c:pt idx="27">
                  <c:v>6497.4677554393238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A-4E4B-B787-497FB26A1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705359"/>
        <c:axId val="1911704879"/>
      </c:barChart>
      <c:lineChart>
        <c:grouping val="standard"/>
        <c:varyColors val="0"/>
        <c:ser>
          <c:idx val="1"/>
          <c:order val="1"/>
          <c:tx>
            <c:strRef>
              <c:f>領域別コンディション!$I$3</c:f>
              <c:strCache>
                <c:ptCount val="1"/>
                <c:pt idx="0">
                  <c:v>変化率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領域別コンディション!$I$36:$I$63</c:f>
              <c:numCache>
                <c:formatCode>0%</c:formatCode>
                <c:ptCount val="28"/>
                <c:pt idx="0">
                  <c:v>1.0056292805974389</c:v>
                </c:pt>
                <c:pt idx="1">
                  <c:v>1.0218937461496544</c:v>
                </c:pt>
                <c:pt idx="2">
                  <c:v>1.0388270536091451</c:v>
                </c:pt>
                <c:pt idx="3">
                  <c:v>1.0535566044384859</c:v>
                </c:pt>
                <c:pt idx="4">
                  <c:v>1.0236749251437398</c:v>
                </c:pt>
                <c:pt idx="5">
                  <c:v>0.99594279127667884</c:v>
                </c:pt>
                <c:pt idx="6">
                  <c:v>0.94349960829061874</c:v>
                </c:pt>
                <c:pt idx="7">
                  <c:v>1.0242631957257946</c:v>
                </c:pt>
                <c:pt idx="8">
                  <c:v>1.0635700361016975</c:v>
                </c:pt>
                <c:pt idx="9">
                  <c:v>0.99549263633452201</c:v>
                </c:pt>
                <c:pt idx="10">
                  <c:v>0.96334241823101041</c:v>
                </c:pt>
                <c:pt idx="11">
                  <c:v>0.91274587190739109</c:v>
                </c:pt>
                <c:pt idx="12">
                  <c:v>0.9129899351164612</c:v>
                </c:pt>
                <c:pt idx="13">
                  <c:v>1.0170788696663486</c:v>
                </c:pt>
                <c:pt idx="14">
                  <c:v>1.0169666040250078</c:v>
                </c:pt>
                <c:pt idx="15">
                  <c:v>1.0675153077666775</c:v>
                </c:pt>
                <c:pt idx="16">
                  <c:v>1.0903464308014412</c:v>
                </c:pt>
                <c:pt idx="17">
                  <c:v>1.0210463167548858</c:v>
                </c:pt>
                <c:pt idx="18">
                  <c:v>0.98049798531975663</c:v>
                </c:pt>
                <c:pt idx="19">
                  <c:v>1.0448262658163507</c:v>
                </c:pt>
                <c:pt idx="20">
                  <c:v>0.97138657815375296</c:v>
                </c:pt>
                <c:pt idx="21">
                  <c:v>1.0547575912607916</c:v>
                </c:pt>
                <c:pt idx="22">
                  <c:v>1.0037360885467637</c:v>
                </c:pt>
                <c:pt idx="23">
                  <c:v>1.0145072664673467</c:v>
                </c:pt>
                <c:pt idx="24">
                  <c:v>0.99365197237419067</c:v>
                </c:pt>
                <c:pt idx="25">
                  <c:v>1.0246744830140502</c:v>
                </c:pt>
                <c:pt idx="26">
                  <c:v>1.0471177741912008</c:v>
                </c:pt>
                <c:pt idx="27">
                  <c:v>1.046965477834245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AA-4E4B-B787-497FB26A1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357999"/>
        <c:axId val="2092356079"/>
      </c:lineChart>
      <c:catAx>
        <c:axId val="191170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4879"/>
        <c:crosses val="autoZero"/>
        <c:auto val="1"/>
        <c:lblAlgn val="ctr"/>
        <c:lblOffset val="100"/>
        <c:noMultiLvlLbl val="0"/>
      </c:catAx>
      <c:valAx>
        <c:axId val="191170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¥&quot;* #,##0_-;\-&quot;¥&quot;* #,##0_-;_-&quot;¥&quot;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5359"/>
        <c:crosses val="autoZero"/>
        <c:crossBetween val="between"/>
      </c:valAx>
      <c:valAx>
        <c:axId val="209235607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092357999"/>
        <c:crosses val="max"/>
        <c:crossBetween val="between"/>
      </c:valAx>
      <c:catAx>
        <c:axId val="20923579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2356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en-US"/>
              <a:t>SEM_Daily_AFCV_Condition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ja-JP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領域別コンディション!$D$3</c:f>
              <c:strCache>
                <c:ptCount val="1"/>
                <c:pt idx="0">
                  <c:v>Daily_AFCV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領域別コンディション!$L$36:$L$63</c:f>
              <c:numCache>
                <c:formatCode>_-* #,##0_-;\-* #,##0_-;_-* "-"_-;_-@_-</c:formatCode>
                <c:ptCount val="28"/>
                <c:pt idx="0">
                  <c:v>539.14285714285711</c:v>
                </c:pt>
                <c:pt idx="1">
                  <c:v>520.71428571428567</c:v>
                </c:pt>
                <c:pt idx="2">
                  <c:v>588.28571428571433</c:v>
                </c:pt>
                <c:pt idx="3">
                  <c:v>675.14285714285711</c:v>
                </c:pt>
                <c:pt idx="4">
                  <c:v>715.85714285714289</c:v>
                </c:pt>
                <c:pt idx="5">
                  <c:v>713.71428571428567</c:v>
                </c:pt>
                <c:pt idx="6">
                  <c:v>683.71428571428567</c:v>
                </c:pt>
                <c:pt idx="7">
                  <c:v>606.42857142857144</c:v>
                </c:pt>
                <c:pt idx="8">
                  <c:v>612.28571428571433</c:v>
                </c:pt>
                <c:pt idx="9">
                  <c:v>648</c:v>
                </c:pt>
                <c:pt idx="10">
                  <c:v>664.85714285714289</c:v>
                </c:pt>
                <c:pt idx="11">
                  <c:v>657.85714285714289</c:v>
                </c:pt>
                <c:pt idx="12">
                  <c:v>696.57142857142856</c:v>
                </c:pt>
                <c:pt idx="13">
                  <c:v>726.57142857142856</c:v>
                </c:pt>
                <c:pt idx="14">
                  <c:v>753.28571428571433</c:v>
                </c:pt>
                <c:pt idx="15">
                  <c:v>777.85714285714289</c:v>
                </c:pt>
                <c:pt idx="16">
                  <c:v>850.71428571428567</c:v>
                </c:pt>
                <c:pt idx="17">
                  <c:v>872.14285714285711</c:v>
                </c:pt>
                <c:pt idx="18">
                  <c:v>861</c:v>
                </c:pt>
                <c:pt idx="19">
                  <c:v>905</c:v>
                </c:pt>
                <c:pt idx="20">
                  <c:v>925</c:v>
                </c:pt>
                <c:pt idx="21">
                  <c:v>999.14285714285722</c:v>
                </c:pt>
                <c:pt idx="22">
                  <c:v>867.85714285714289</c:v>
                </c:pt>
                <c:pt idx="23">
                  <c:v>835</c:v>
                </c:pt>
                <c:pt idx="24">
                  <c:v>795.7142857</c:v>
                </c:pt>
                <c:pt idx="25">
                  <c:v>769.71428571428567</c:v>
                </c:pt>
                <c:pt idx="26">
                  <c:v>830</c:v>
                </c:pt>
                <c:pt idx="27">
                  <c:v>844.14285714285711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E-4192-BAB8-890D7DC3C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705359"/>
        <c:axId val="1911704879"/>
      </c:barChart>
      <c:lineChart>
        <c:grouping val="standard"/>
        <c:varyColors val="0"/>
        <c:ser>
          <c:idx val="1"/>
          <c:order val="1"/>
          <c:tx>
            <c:strRef>
              <c:f>領域別コンディション!$E$3</c:f>
              <c:strCache>
                <c:ptCount val="1"/>
                <c:pt idx="0">
                  <c:v>変化率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領域別コンディション!$M$36:$M$63</c:f>
              <c:numCache>
                <c:formatCode>0%</c:formatCode>
                <c:ptCount val="28"/>
                <c:pt idx="0">
                  <c:v>0.66233766233766234</c:v>
                </c:pt>
                <c:pt idx="1">
                  <c:v>0.6396981396981396</c:v>
                </c:pt>
                <c:pt idx="2">
                  <c:v>0.72270972270972278</c:v>
                </c:pt>
                <c:pt idx="3">
                  <c:v>0.82941382941382935</c:v>
                </c:pt>
                <c:pt idx="4">
                  <c:v>0.8794313794313795</c:v>
                </c:pt>
                <c:pt idx="5">
                  <c:v>0.87679887679887669</c:v>
                </c:pt>
                <c:pt idx="6">
                  <c:v>0.83994383994383992</c:v>
                </c:pt>
                <c:pt idx="7">
                  <c:v>0.74499824499824496</c:v>
                </c:pt>
                <c:pt idx="8">
                  <c:v>0.75219375219375229</c:v>
                </c:pt>
                <c:pt idx="9">
                  <c:v>0.7960687960687961</c:v>
                </c:pt>
                <c:pt idx="10">
                  <c:v>0.8167778167778168</c:v>
                </c:pt>
                <c:pt idx="11">
                  <c:v>0.80817830817830827</c:v>
                </c:pt>
                <c:pt idx="12">
                  <c:v>0.85573885573885566</c:v>
                </c:pt>
                <c:pt idx="13">
                  <c:v>0.89259389259389255</c:v>
                </c:pt>
                <c:pt idx="14">
                  <c:v>0.92541242541242552</c:v>
                </c:pt>
                <c:pt idx="15">
                  <c:v>0.95559845559845569</c:v>
                </c:pt>
                <c:pt idx="16">
                  <c:v>1.0451035451035451</c:v>
                </c:pt>
                <c:pt idx="17">
                  <c:v>1.0714285714285714</c:v>
                </c:pt>
                <c:pt idx="18">
                  <c:v>1.0577395577395576</c:v>
                </c:pt>
                <c:pt idx="19">
                  <c:v>1.1117936117936118</c:v>
                </c:pt>
                <c:pt idx="20">
                  <c:v>1.1363636363636365</c:v>
                </c:pt>
                <c:pt idx="21">
                  <c:v>1.2274482274482275</c:v>
                </c:pt>
                <c:pt idx="22">
                  <c:v>1.0661635661635662</c:v>
                </c:pt>
                <c:pt idx="23">
                  <c:v>1.0257985257985258</c:v>
                </c:pt>
                <c:pt idx="24">
                  <c:v>0.97753597751842758</c:v>
                </c:pt>
                <c:pt idx="25">
                  <c:v>0.9455949455949455</c:v>
                </c:pt>
                <c:pt idx="26">
                  <c:v>1.0196560196560196</c:v>
                </c:pt>
                <c:pt idx="27">
                  <c:v>1.037030537030537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0E-4192-BAB8-890D7DC3C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357999"/>
        <c:axId val="2092356079"/>
      </c:lineChart>
      <c:catAx>
        <c:axId val="191170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4879"/>
        <c:crosses val="autoZero"/>
        <c:auto val="1"/>
        <c:lblAlgn val="ctr"/>
        <c:lblOffset val="100"/>
        <c:noMultiLvlLbl val="0"/>
      </c:catAx>
      <c:valAx>
        <c:axId val="191170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5359"/>
        <c:crosses val="autoZero"/>
        <c:crossBetween val="between"/>
      </c:valAx>
      <c:valAx>
        <c:axId val="209235607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092357999"/>
        <c:crosses val="max"/>
        <c:crossBetween val="between"/>
      </c:valAx>
      <c:catAx>
        <c:axId val="20923579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2356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en-US"/>
              <a:t>SEM_Daily_CPA_Condition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ja-JP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領域別コンディション!$H$3</c:f>
              <c:strCache>
                <c:ptCount val="1"/>
                <c:pt idx="0">
                  <c:v>CPA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領域別コンディション!$P$36:$P$63</c:f>
              <c:numCache>
                <c:formatCode>_-"¥"* #,##0_-;\-"¥"* #,##0_-;_-"¥"* "-"_-;_-@_-</c:formatCode>
                <c:ptCount val="28"/>
                <c:pt idx="0">
                  <c:v>2745.4772125066247</c:v>
                </c:pt>
                <c:pt idx="1">
                  <c:v>2230.0565157750343</c:v>
                </c:pt>
                <c:pt idx="2">
                  <c:v>2062.415250121418</c:v>
                </c:pt>
                <c:pt idx="3">
                  <c:v>2455.6705459162085</c:v>
                </c:pt>
                <c:pt idx="4">
                  <c:v>2029.6308122131311</c:v>
                </c:pt>
                <c:pt idx="5">
                  <c:v>2040.2612089671738</c:v>
                </c:pt>
                <c:pt idx="6">
                  <c:v>2524.2250313414129</c:v>
                </c:pt>
                <c:pt idx="7">
                  <c:v>2929.8174322732625</c:v>
                </c:pt>
                <c:pt idx="8">
                  <c:v>2341.4941670555295</c:v>
                </c:pt>
                <c:pt idx="9">
                  <c:v>3254.1261022927688</c:v>
                </c:pt>
                <c:pt idx="10">
                  <c:v>2667.7529007305543</c:v>
                </c:pt>
                <c:pt idx="11">
                  <c:v>2084.5656894679696</c:v>
                </c:pt>
                <c:pt idx="12">
                  <c:v>2318.8098851517639</c:v>
                </c:pt>
                <c:pt idx="13">
                  <c:v>2147.6211167911915</c:v>
                </c:pt>
                <c:pt idx="14">
                  <c:v>2187.1710601175801</c:v>
                </c:pt>
                <c:pt idx="15">
                  <c:v>2269.1946740128556</c:v>
                </c:pt>
                <c:pt idx="16">
                  <c:v>2185.7195633921074</c:v>
                </c:pt>
                <c:pt idx="17">
                  <c:v>2181.4738738738738</c:v>
                </c:pt>
                <c:pt idx="18">
                  <c:v>2165.5888501742161</c:v>
                </c:pt>
                <c:pt idx="19">
                  <c:v>2054.6910812943961</c:v>
                </c:pt>
                <c:pt idx="20">
                  <c:v>1967.2572972972973</c:v>
                </c:pt>
                <c:pt idx="21">
                  <c:v>2442.9408855710913</c:v>
                </c:pt>
                <c:pt idx="22">
                  <c:v>2009.0597530864195</c:v>
                </c:pt>
                <c:pt idx="23">
                  <c:v>2014.7382468146418</c:v>
                </c:pt>
                <c:pt idx="24">
                  <c:v>2207.6993197032475</c:v>
                </c:pt>
                <c:pt idx="25">
                  <c:v>1808.3880846325169</c:v>
                </c:pt>
                <c:pt idx="26">
                  <c:v>2096.3133979527124</c:v>
                </c:pt>
                <c:pt idx="27">
                  <c:v>2230.4625059009009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61-407C-92DA-B6D619D37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705359"/>
        <c:axId val="1911704879"/>
      </c:barChart>
      <c:lineChart>
        <c:grouping val="standard"/>
        <c:varyColors val="0"/>
        <c:ser>
          <c:idx val="1"/>
          <c:order val="1"/>
          <c:tx>
            <c:strRef>
              <c:f>領域別コンディション!$I$3</c:f>
              <c:strCache>
                <c:ptCount val="1"/>
                <c:pt idx="0">
                  <c:v>変化率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領域別コンディション!$Q$36:$Q$63</c:f>
              <c:numCache>
                <c:formatCode>0%</c:formatCode>
                <c:ptCount val="28"/>
                <c:pt idx="0">
                  <c:v>1.2769661453519185</c:v>
                </c:pt>
                <c:pt idx="1">
                  <c:v>1.0372355887325742</c:v>
                </c:pt>
                <c:pt idx="2">
                  <c:v>0.9592629070332177</c:v>
                </c:pt>
                <c:pt idx="3">
                  <c:v>1.1421723469377714</c:v>
                </c:pt>
                <c:pt idx="4">
                  <c:v>0.94401433126192147</c:v>
                </c:pt>
                <c:pt idx="5">
                  <c:v>0.94895870184519715</c:v>
                </c:pt>
                <c:pt idx="6">
                  <c:v>1.174058154112285</c:v>
                </c:pt>
                <c:pt idx="7">
                  <c:v>1.3627057824526803</c:v>
                </c:pt>
                <c:pt idx="8">
                  <c:v>1.0890670544444323</c:v>
                </c:pt>
                <c:pt idx="9">
                  <c:v>1.513547024322218</c:v>
                </c:pt>
                <c:pt idx="10">
                  <c:v>1.2408153026653741</c:v>
                </c:pt>
                <c:pt idx="11">
                  <c:v>0.96956543696184638</c:v>
                </c:pt>
                <c:pt idx="12">
                  <c:v>1.0785162256519831</c:v>
                </c:pt>
                <c:pt idx="13">
                  <c:v>0.99889354269357744</c:v>
                </c:pt>
                <c:pt idx="14">
                  <c:v>1.0172888651709675</c:v>
                </c:pt>
                <c:pt idx="15">
                  <c:v>1.0554393832617932</c:v>
                </c:pt>
                <c:pt idx="16">
                  <c:v>1.0166137504149337</c:v>
                </c:pt>
                <c:pt idx="17">
                  <c:v>1.0146390111041272</c:v>
                </c:pt>
                <c:pt idx="18">
                  <c:v>1.0072506279880076</c:v>
                </c:pt>
                <c:pt idx="19">
                  <c:v>0.9556702703694866</c:v>
                </c:pt>
                <c:pt idx="20">
                  <c:v>0.91500339409176623</c:v>
                </c:pt>
                <c:pt idx="21">
                  <c:v>1.1362515746842285</c:v>
                </c:pt>
                <c:pt idx="22">
                  <c:v>0.93444639678438113</c:v>
                </c:pt>
                <c:pt idx="23">
                  <c:v>0.93708755665797294</c:v>
                </c:pt>
                <c:pt idx="24">
                  <c:v>1.0268368928852314</c:v>
                </c:pt>
                <c:pt idx="25">
                  <c:v>0.84111073703837991</c:v>
                </c:pt>
                <c:pt idx="26">
                  <c:v>0.97502948741986628</c:v>
                </c:pt>
                <c:pt idx="27">
                  <c:v>1.0374244213492563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61-407C-92DA-B6D619D37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357999"/>
        <c:axId val="2092356079"/>
      </c:lineChart>
      <c:catAx>
        <c:axId val="1911705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4879"/>
        <c:crosses val="autoZero"/>
        <c:auto val="1"/>
        <c:lblAlgn val="ctr"/>
        <c:lblOffset val="100"/>
        <c:noMultiLvlLbl val="0"/>
      </c:catAx>
      <c:valAx>
        <c:axId val="191170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&quot;¥&quot;* #,##0_-;\-&quot;¥&quot;* #,##0_-;_-&quot;¥&quot;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911705359"/>
        <c:crosses val="autoZero"/>
        <c:crossBetween val="between"/>
      </c:valAx>
      <c:valAx>
        <c:axId val="209235607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092357999"/>
        <c:crosses val="max"/>
        <c:crossBetween val="between"/>
      </c:valAx>
      <c:catAx>
        <c:axId val="20923579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2356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ja-JP"/>
              <a:t>全体</a:t>
            </a:r>
            <a:r>
              <a:rPr lang="en-US"/>
              <a:t>_1-3</a:t>
            </a:r>
            <a:r>
              <a:rPr lang="ja-JP"/>
              <a:t>月平均対比</a:t>
            </a:r>
            <a:r>
              <a:rPr lang="en-US"/>
              <a:t>_Condition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/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ja-JP" alt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1"/>
          <c:tx>
            <c:strRef>
              <c:f>領域別コンディション!$B$34</c:f>
              <c:strCache>
                <c:ptCount val="1"/>
                <c:pt idx="0">
                  <c:v>AFF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領域別コンディション!$D$36:$D$63</c:f>
              <c:numCache>
                <c:formatCode>_-* #,##0_-;\-* #,##0_-;_-* "-"_-;_-@_-</c:formatCode>
                <c:ptCount val="28"/>
                <c:pt idx="0">
                  <c:v>355.57142857142856</c:v>
                </c:pt>
                <c:pt idx="1">
                  <c:v>318.42857142857144</c:v>
                </c:pt>
                <c:pt idx="2">
                  <c:v>312.57142857142856</c:v>
                </c:pt>
                <c:pt idx="3">
                  <c:v>342.28571428571428</c:v>
                </c:pt>
                <c:pt idx="4">
                  <c:v>457.28571428571428</c:v>
                </c:pt>
                <c:pt idx="5">
                  <c:v>317.57142857142856</c:v>
                </c:pt>
                <c:pt idx="6">
                  <c:v>343.42857142857144</c:v>
                </c:pt>
                <c:pt idx="7">
                  <c:v>362.71428571428572</c:v>
                </c:pt>
                <c:pt idx="8">
                  <c:v>351.57142857142856</c:v>
                </c:pt>
                <c:pt idx="9">
                  <c:v>366.28571428571428</c:v>
                </c:pt>
                <c:pt idx="10">
                  <c:v>351.57142857142856</c:v>
                </c:pt>
                <c:pt idx="11">
                  <c:v>324.28571428571428</c:v>
                </c:pt>
                <c:pt idx="12">
                  <c:v>331</c:v>
                </c:pt>
                <c:pt idx="13">
                  <c:v>301.28571428571428</c:v>
                </c:pt>
                <c:pt idx="14">
                  <c:v>388.71428571428572</c:v>
                </c:pt>
                <c:pt idx="15">
                  <c:v>370.28571428571428</c:v>
                </c:pt>
                <c:pt idx="16">
                  <c:v>368.14285714285717</c:v>
                </c:pt>
                <c:pt idx="17">
                  <c:v>333.71428571428572</c:v>
                </c:pt>
                <c:pt idx="18">
                  <c:v>368</c:v>
                </c:pt>
                <c:pt idx="19">
                  <c:v>394</c:v>
                </c:pt>
                <c:pt idx="20">
                  <c:v>412</c:v>
                </c:pt>
                <c:pt idx="21">
                  <c:v>377.14285714285717</c:v>
                </c:pt>
                <c:pt idx="22">
                  <c:v>358</c:v>
                </c:pt>
                <c:pt idx="23">
                  <c:v>344.42857142857144</c:v>
                </c:pt>
                <c:pt idx="24">
                  <c:v>310.14285714285717</c:v>
                </c:pt>
                <c:pt idx="25">
                  <c:v>325</c:v>
                </c:pt>
                <c:pt idx="26">
                  <c:v>335.71</c:v>
                </c:pt>
                <c:pt idx="27">
                  <c:v>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AE-4574-8FFE-49D09813E2A5}"/>
            </c:ext>
          </c:extLst>
        </c:ser>
        <c:ser>
          <c:idx val="3"/>
          <c:order val="2"/>
          <c:tx>
            <c:strRef>
              <c:f>領域別コンディション!$J$34</c:f>
              <c:strCache>
                <c:ptCount val="1"/>
                <c:pt idx="0">
                  <c:v>SEM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領域別コンディション!$L$36:$L$63</c:f>
              <c:numCache>
                <c:formatCode>_-* #,##0_-;\-* #,##0_-;_-* "-"_-;_-@_-</c:formatCode>
                <c:ptCount val="28"/>
                <c:pt idx="0">
                  <c:v>539.14285714285711</c:v>
                </c:pt>
                <c:pt idx="1">
                  <c:v>520.71428571428567</c:v>
                </c:pt>
                <c:pt idx="2">
                  <c:v>588.28571428571433</c:v>
                </c:pt>
                <c:pt idx="3">
                  <c:v>675.14285714285711</c:v>
                </c:pt>
                <c:pt idx="4">
                  <c:v>715.85714285714289</c:v>
                </c:pt>
                <c:pt idx="5">
                  <c:v>713.71428571428567</c:v>
                </c:pt>
                <c:pt idx="6">
                  <c:v>683.71428571428567</c:v>
                </c:pt>
                <c:pt idx="7">
                  <c:v>606.42857142857144</c:v>
                </c:pt>
                <c:pt idx="8">
                  <c:v>612.28571428571433</c:v>
                </c:pt>
                <c:pt idx="9">
                  <c:v>648</c:v>
                </c:pt>
                <c:pt idx="10">
                  <c:v>664.85714285714289</c:v>
                </c:pt>
                <c:pt idx="11">
                  <c:v>657.85714285714289</c:v>
                </c:pt>
                <c:pt idx="12">
                  <c:v>696.57142857142856</c:v>
                </c:pt>
                <c:pt idx="13">
                  <c:v>726.57142857142856</c:v>
                </c:pt>
                <c:pt idx="14">
                  <c:v>753.28571428571433</c:v>
                </c:pt>
                <c:pt idx="15">
                  <c:v>777.85714285714289</c:v>
                </c:pt>
                <c:pt idx="16">
                  <c:v>850.71428571428567</c:v>
                </c:pt>
                <c:pt idx="17">
                  <c:v>872.14285714285711</c:v>
                </c:pt>
                <c:pt idx="18">
                  <c:v>861</c:v>
                </c:pt>
                <c:pt idx="19">
                  <c:v>905</c:v>
                </c:pt>
                <c:pt idx="20">
                  <c:v>925</c:v>
                </c:pt>
                <c:pt idx="21">
                  <c:v>999.14285714285722</c:v>
                </c:pt>
                <c:pt idx="22">
                  <c:v>867.85714285714289</c:v>
                </c:pt>
                <c:pt idx="23">
                  <c:v>835</c:v>
                </c:pt>
                <c:pt idx="24">
                  <c:v>795.7142857</c:v>
                </c:pt>
                <c:pt idx="25">
                  <c:v>769.71428571428567</c:v>
                </c:pt>
                <c:pt idx="26">
                  <c:v>830</c:v>
                </c:pt>
                <c:pt idx="27">
                  <c:v>844.14285714285711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AE-4574-8FFE-49D09813E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9184960"/>
        <c:axId val="259179200"/>
      </c:areaChart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60000"/>
                  <a:lumOff val="40000"/>
                </a:schemeClr>
              </a:solidFill>
              <a:ln w="50800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dLbls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2E-4C8A-85A4-A5B07D9D3E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900" b="1" i="0" u="none" strike="noStrike" kern="1200" baseline="0">
                    <a:solidFill>
                      <a:schemeClr val="tx1"/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領域別コンディション!$E$5:$E$32</c:f>
              <c:numCache>
                <c:formatCode>0%</c:formatCode>
                <c:ptCount val="28"/>
                <c:pt idx="0">
                  <c:v>0.70450713723727099</c:v>
                </c:pt>
                <c:pt idx="1">
                  <c:v>0.66078453411262228</c:v>
                </c:pt>
                <c:pt idx="2">
                  <c:v>0.72878498370237166</c:v>
                </c:pt>
                <c:pt idx="3">
                  <c:v>0.80622681802854901</c:v>
                </c:pt>
                <c:pt idx="4">
                  <c:v>0.9244689221085759</c:v>
                </c:pt>
                <c:pt idx="5">
                  <c:v>0.81712936945037662</c:v>
                </c:pt>
                <c:pt idx="6">
                  <c:v>0.81128470270877817</c:v>
                </c:pt>
                <c:pt idx="7">
                  <c:v>0.7657637405867147</c:v>
                </c:pt>
                <c:pt idx="8">
                  <c:v>0.77958862537934137</c:v>
                </c:pt>
                <c:pt idx="9">
                  <c:v>0.81578060020231546</c:v>
                </c:pt>
                <c:pt idx="10">
                  <c:v>0.80026975384961219</c:v>
                </c:pt>
                <c:pt idx="11">
                  <c:v>0.77306957401371246</c:v>
                </c:pt>
                <c:pt idx="12">
                  <c:v>0.8084747667753176</c:v>
                </c:pt>
                <c:pt idx="13">
                  <c:v>0.80869956164999446</c:v>
                </c:pt>
                <c:pt idx="14">
                  <c:v>0.89850511408339895</c:v>
                </c:pt>
                <c:pt idx="15">
                  <c:v>0.90333820388895125</c:v>
                </c:pt>
                <c:pt idx="16">
                  <c:v>0.9589749353714736</c:v>
                </c:pt>
                <c:pt idx="17">
                  <c:v>0.94874676857367657</c:v>
                </c:pt>
                <c:pt idx="18">
                  <c:v>0.96695515342250193</c:v>
                </c:pt>
                <c:pt idx="19">
                  <c:v>1.022029897718332</c:v>
                </c:pt>
                <c:pt idx="20">
                  <c:v>1.0519276160503541</c:v>
                </c:pt>
                <c:pt idx="21">
                  <c:v>1.082836911318422</c:v>
                </c:pt>
                <c:pt idx="22">
                  <c:v>0.96448240980105659</c:v>
                </c:pt>
                <c:pt idx="23">
                  <c:v>0.92795324266606727</c:v>
                </c:pt>
                <c:pt idx="24">
                  <c:v>0.87006856242553676</c:v>
                </c:pt>
                <c:pt idx="25">
                  <c:v>0.86130156232437904</c:v>
                </c:pt>
                <c:pt idx="26">
                  <c:v>0.91715971675845798</c:v>
                </c:pt>
                <c:pt idx="27">
                  <c:v>0.9151399348094863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AE-4574-8FFE-49D09813E2A5}"/>
            </c:ext>
          </c:extLst>
        </c:ser>
        <c:ser>
          <c:idx val="4"/>
          <c:order val="3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50800">
                <a:solidFill>
                  <a:srgbClr val="FF0000"/>
                </a:solidFill>
              </a:ln>
              <a:effectLst/>
            </c:spPr>
          </c:marker>
          <c:dLbls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12E-4C8A-85A4-A5B07D9D3E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領域別コンディション!$E$36:$E$63</c:f>
              <c:numCache>
                <c:formatCode>0%</c:formatCode>
                <c:ptCount val="28"/>
                <c:pt idx="0">
                  <c:v>0.77805564238824632</c:v>
                </c:pt>
                <c:pt idx="1">
                  <c:v>0.69678024382619574</c:v>
                </c:pt>
                <c:pt idx="2">
                  <c:v>0.68396373866833382</c:v>
                </c:pt>
                <c:pt idx="3">
                  <c:v>0.74898405751797437</c:v>
                </c:pt>
                <c:pt idx="4">
                  <c:v>1.0006251953735543</c:v>
                </c:pt>
                <c:pt idx="5">
                  <c:v>0.69490465770553289</c:v>
                </c:pt>
                <c:pt idx="6">
                  <c:v>0.75148483901219132</c:v>
                </c:pt>
                <c:pt idx="7">
                  <c:v>0.79368552672710224</c:v>
                </c:pt>
                <c:pt idx="8">
                  <c:v>0.76930290715848704</c:v>
                </c:pt>
                <c:pt idx="9">
                  <c:v>0.80150046889653015</c:v>
                </c:pt>
                <c:pt idx="10">
                  <c:v>0.76930290715848704</c:v>
                </c:pt>
                <c:pt idx="11">
                  <c:v>0.70959674898405745</c:v>
                </c:pt>
                <c:pt idx="12">
                  <c:v>0.72428884026258211</c:v>
                </c:pt>
                <c:pt idx="13">
                  <c:v>0.65926852141294157</c:v>
                </c:pt>
                <c:pt idx="14">
                  <c:v>0.85057830572053772</c:v>
                </c:pt>
                <c:pt idx="15">
                  <c:v>0.81025320412628943</c:v>
                </c:pt>
                <c:pt idx="16">
                  <c:v>0.80556423882463279</c:v>
                </c:pt>
                <c:pt idx="17">
                  <c:v>0.73022819631134728</c:v>
                </c:pt>
                <c:pt idx="18">
                  <c:v>0.80525164113785563</c:v>
                </c:pt>
                <c:pt idx="19">
                  <c:v>0.862144420131291</c:v>
                </c:pt>
                <c:pt idx="20">
                  <c:v>0.90153172866520792</c:v>
                </c:pt>
                <c:pt idx="21">
                  <c:v>0.82525789309159114</c:v>
                </c:pt>
                <c:pt idx="22">
                  <c:v>0.78336980306345738</c:v>
                </c:pt>
                <c:pt idx="23">
                  <c:v>0.75367302281963122</c:v>
                </c:pt>
                <c:pt idx="24">
                  <c:v>0.67864957799312287</c:v>
                </c:pt>
                <c:pt idx="25">
                  <c:v>0.71115973741794314</c:v>
                </c:pt>
                <c:pt idx="26">
                  <c:v>0.73459518599562357</c:v>
                </c:pt>
                <c:pt idx="27">
                  <c:v>0.69803063457330417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AE-4574-8FFE-49D09813E2A5}"/>
            </c:ext>
          </c:extLst>
        </c:ser>
        <c:ser>
          <c:idx val="5"/>
          <c:order val="4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50800">
                <a:solidFill>
                  <a:srgbClr val="00B050"/>
                </a:solidFill>
              </a:ln>
              <a:effectLst/>
            </c:spPr>
          </c:marker>
          <c:dLbls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12E-4C8A-85A4-A5B07D9D3E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領域別コンディション!$B$5:$B$32</c:f>
              <c:strCache>
                <c:ptCount val="28"/>
                <c:pt idx="0">
                  <c:v>移管後1W</c:v>
                </c:pt>
                <c:pt idx="1">
                  <c:v>移管後2W</c:v>
                </c:pt>
                <c:pt idx="2">
                  <c:v>移管後3W</c:v>
                </c:pt>
                <c:pt idx="3">
                  <c:v>移管後4W</c:v>
                </c:pt>
                <c:pt idx="4">
                  <c:v>移管後5W</c:v>
                </c:pt>
                <c:pt idx="5">
                  <c:v>移管後6W</c:v>
                </c:pt>
                <c:pt idx="6">
                  <c:v>移管後7W</c:v>
                </c:pt>
                <c:pt idx="7">
                  <c:v>移管後8W</c:v>
                </c:pt>
                <c:pt idx="8">
                  <c:v>移管後9W</c:v>
                </c:pt>
                <c:pt idx="9">
                  <c:v>移管後10W</c:v>
                </c:pt>
                <c:pt idx="10">
                  <c:v>移管後11W</c:v>
                </c:pt>
                <c:pt idx="11">
                  <c:v>移管後12W</c:v>
                </c:pt>
                <c:pt idx="12">
                  <c:v>移管後13W</c:v>
                </c:pt>
                <c:pt idx="13">
                  <c:v>移管後14W</c:v>
                </c:pt>
                <c:pt idx="14">
                  <c:v>移管後15W</c:v>
                </c:pt>
                <c:pt idx="15">
                  <c:v>移管後16W</c:v>
                </c:pt>
                <c:pt idx="16">
                  <c:v>移管後17W</c:v>
                </c:pt>
                <c:pt idx="17">
                  <c:v>移管後18W</c:v>
                </c:pt>
                <c:pt idx="18">
                  <c:v>移管後19W</c:v>
                </c:pt>
                <c:pt idx="19">
                  <c:v>移管後20W</c:v>
                </c:pt>
                <c:pt idx="20">
                  <c:v>移管後21W</c:v>
                </c:pt>
                <c:pt idx="21">
                  <c:v>移管後22W</c:v>
                </c:pt>
                <c:pt idx="22">
                  <c:v>移管後23W</c:v>
                </c:pt>
                <c:pt idx="23">
                  <c:v>移管後24W</c:v>
                </c:pt>
                <c:pt idx="24">
                  <c:v>移管後25W</c:v>
                </c:pt>
                <c:pt idx="25">
                  <c:v>移管後26W</c:v>
                </c:pt>
                <c:pt idx="26">
                  <c:v>移管後27W</c:v>
                </c:pt>
                <c:pt idx="27">
                  <c:v>移管後28W</c:v>
                </c:pt>
              </c:strCache>
            </c:strRef>
          </c:cat>
          <c:val>
            <c:numRef>
              <c:f>領域別コンディション!$M$36:$M$63</c:f>
              <c:numCache>
                <c:formatCode>0%</c:formatCode>
                <c:ptCount val="28"/>
                <c:pt idx="0">
                  <c:v>0.66233766233766234</c:v>
                </c:pt>
                <c:pt idx="1">
                  <c:v>0.6396981396981396</c:v>
                </c:pt>
                <c:pt idx="2">
                  <c:v>0.72270972270972278</c:v>
                </c:pt>
                <c:pt idx="3">
                  <c:v>0.82941382941382935</c:v>
                </c:pt>
                <c:pt idx="4">
                  <c:v>0.8794313794313795</c:v>
                </c:pt>
                <c:pt idx="5">
                  <c:v>0.87679887679887669</c:v>
                </c:pt>
                <c:pt idx="6">
                  <c:v>0.83994383994383992</c:v>
                </c:pt>
                <c:pt idx="7">
                  <c:v>0.74499824499824496</c:v>
                </c:pt>
                <c:pt idx="8">
                  <c:v>0.75219375219375229</c:v>
                </c:pt>
                <c:pt idx="9">
                  <c:v>0.7960687960687961</c:v>
                </c:pt>
                <c:pt idx="10">
                  <c:v>0.8167778167778168</c:v>
                </c:pt>
                <c:pt idx="11">
                  <c:v>0.80817830817830827</c:v>
                </c:pt>
                <c:pt idx="12">
                  <c:v>0.85573885573885566</c:v>
                </c:pt>
                <c:pt idx="13">
                  <c:v>0.89259389259389255</c:v>
                </c:pt>
                <c:pt idx="14">
                  <c:v>0.92541242541242552</c:v>
                </c:pt>
                <c:pt idx="15">
                  <c:v>0.95559845559845569</c:v>
                </c:pt>
                <c:pt idx="16">
                  <c:v>1.0451035451035451</c:v>
                </c:pt>
                <c:pt idx="17">
                  <c:v>1.0714285714285714</c:v>
                </c:pt>
                <c:pt idx="18">
                  <c:v>1.0577395577395576</c:v>
                </c:pt>
                <c:pt idx="19">
                  <c:v>1.1117936117936118</c:v>
                </c:pt>
                <c:pt idx="20">
                  <c:v>1.1363636363636365</c:v>
                </c:pt>
                <c:pt idx="21">
                  <c:v>1.2274482274482275</c:v>
                </c:pt>
                <c:pt idx="22">
                  <c:v>1.0661635661635662</c:v>
                </c:pt>
                <c:pt idx="23">
                  <c:v>1.0257985257985258</c:v>
                </c:pt>
                <c:pt idx="24">
                  <c:v>0.97753597751842758</c:v>
                </c:pt>
                <c:pt idx="25">
                  <c:v>0.9455949455949455</c:v>
                </c:pt>
                <c:pt idx="26">
                  <c:v>1.0196560196560196</c:v>
                </c:pt>
                <c:pt idx="27">
                  <c:v>1.037030537030537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9AE-4574-8FFE-49D09813E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9171520"/>
        <c:axId val="259174400"/>
      </c:lineChart>
      <c:catAx>
        <c:axId val="25918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800" b="0" i="0" u="none" strike="noStrike" kern="120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59179200"/>
        <c:crosses val="autoZero"/>
        <c:auto val="1"/>
        <c:lblAlgn val="ctr"/>
        <c:lblOffset val="100"/>
        <c:noMultiLvlLbl val="0"/>
      </c:catAx>
      <c:valAx>
        <c:axId val="25917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59184960"/>
        <c:crosses val="autoZero"/>
        <c:crossBetween val="between"/>
      </c:valAx>
      <c:valAx>
        <c:axId val="259174400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59171520"/>
        <c:crosses val="max"/>
        <c:crossBetween val="between"/>
      </c:valAx>
      <c:catAx>
        <c:axId val="2591715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59174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ja-JP"/>
              <a:t>週別ｘ領域別ｘ件数</a:t>
            </a:r>
            <a:r>
              <a:rPr lang="en-US"/>
              <a:t>_</a:t>
            </a:r>
            <a:r>
              <a:rPr lang="ja-JP"/>
              <a:t>目標対比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サマリ!$AA$4</c:f>
              <c:strCache>
                <c:ptCount val="1"/>
                <c:pt idx="0">
                  <c:v>AFF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サマリ!$AB$2:$BK$3</c:f>
              <c:multiLvlStrCache>
                <c:ptCount val="36"/>
                <c:lvl>
                  <c:pt idx="0">
                    <c:v>BGT</c:v>
                  </c:pt>
                  <c:pt idx="1">
                    <c:v>ACT</c:v>
                  </c:pt>
                  <c:pt idx="2">
                    <c:v>BGT</c:v>
                  </c:pt>
                  <c:pt idx="3">
                    <c:v>ACT</c:v>
                  </c:pt>
                  <c:pt idx="4">
                    <c:v>BGT</c:v>
                  </c:pt>
                  <c:pt idx="5">
                    <c:v>ACT</c:v>
                  </c:pt>
                  <c:pt idx="6">
                    <c:v>BGT</c:v>
                  </c:pt>
                  <c:pt idx="7">
                    <c:v>ACT</c:v>
                  </c:pt>
                  <c:pt idx="8">
                    <c:v>BGT</c:v>
                  </c:pt>
                  <c:pt idx="9">
                    <c:v>ACT</c:v>
                  </c:pt>
                  <c:pt idx="10">
                    <c:v>BGT</c:v>
                  </c:pt>
                  <c:pt idx="11">
                    <c:v>ACT</c:v>
                  </c:pt>
                  <c:pt idx="12">
                    <c:v>BGT</c:v>
                  </c:pt>
                  <c:pt idx="13">
                    <c:v>ACT</c:v>
                  </c:pt>
                  <c:pt idx="14">
                    <c:v>BGT</c:v>
                  </c:pt>
                  <c:pt idx="15">
                    <c:v>ACT</c:v>
                  </c:pt>
                  <c:pt idx="16">
                    <c:v>BGT</c:v>
                  </c:pt>
                  <c:pt idx="17">
                    <c:v>ACT</c:v>
                  </c:pt>
                  <c:pt idx="18">
                    <c:v>BGT</c:v>
                  </c:pt>
                  <c:pt idx="19">
                    <c:v>ACT</c:v>
                  </c:pt>
                  <c:pt idx="20">
                    <c:v>BGT</c:v>
                  </c:pt>
                  <c:pt idx="21">
                    <c:v>ACT</c:v>
                  </c:pt>
                  <c:pt idx="22">
                    <c:v>BGT</c:v>
                  </c:pt>
                  <c:pt idx="23">
                    <c:v>ACT</c:v>
                  </c:pt>
                  <c:pt idx="24">
                    <c:v>BGT</c:v>
                  </c:pt>
                  <c:pt idx="25">
                    <c:v>ACT</c:v>
                  </c:pt>
                  <c:pt idx="26">
                    <c:v>BGT</c:v>
                  </c:pt>
                  <c:pt idx="27">
                    <c:v>ACT</c:v>
                  </c:pt>
                  <c:pt idx="28">
                    <c:v>BGT</c:v>
                  </c:pt>
                  <c:pt idx="29">
                    <c:v>ACT</c:v>
                  </c:pt>
                  <c:pt idx="30">
                    <c:v>BGT</c:v>
                  </c:pt>
                  <c:pt idx="31">
                    <c:v>ACT</c:v>
                  </c:pt>
                  <c:pt idx="32">
                    <c:v>BGT</c:v>
                  </c:pt>
                  <c:pt idx="33">
                    <c:v>ACT</c:v>
                  </c:pt>
                  <c:pt idx="34">
                    <c:v>BGT</c:v>
                  </c:pt>
                  <c:pt idx="35">
                    <c:v>ACT</c:v>
                  </c:pt>
                </c:lvl>
                <c:lvl>
                  <c:pt idx="0">
                    <c:v>1Week</c:v>
                  </c:pt>
                  <c:pt idx="2">
                    <c:v>2Week</c:v>
                  </c:pt>
                  <c:pt idx="4">
                    <c:v>3Week</c:v>
                  </c:pt>
                  <c:pt idx="6">
                    <c:v>4Week</c:v>
                  </c:pt>
                  <c:pt idx="8">
                    <c:v>5Week</c:v>
                  </c:pt>
                  <c:pt idx="10">
                    <c:v>6Week</c:v>
                  </c:pt>
                  <c:pt idx="12">
                    <c:v>7Week</c:v>
                  </c:pt>
                  <c:pt idx="14">
                    <c:v>8Week</c:v>
                  </c:pt>
                  <c:pt idx="16">
                    <c:v>9Week</c:v>
                  </c:pt>
                  <c:pt idx="18">
                    <c:v>10Week</c:v>
                  </c:pt>
                  <c:pt idx="20">
                    <c:v>11Week</c:v>
                  </c:pt>
                  <c:pt idx="22">
                    <c:v>12Week</c:v>
                  </c:pt>
                  <c:pt idx="24">
                    <c:v>13Week</c:v>
                  </c:pt>
                  <c:pt idx="26">
                    <c:v>14Week</c:v>
                  </c:pt>
                  <c:pt idx="28">
                    <c:v>15Week</c:v>
                  </c:pt>
                  <c:pt idx="30">
                    <c:v>16Week</c:v>
                  </c:pt>
                  <c:pt idx="32">
                    <c:v>17Week</c:v>
                  </c:pt>
                  <c:pt idx="34">
                    <c:v>18Week</c:v>
                  </c:pt>
                </c:lvl>
              </c:multiLvlStrCache>
            </c:multiLvlStrRef>
          </c:cat>
          <c:val>
            <c:numRef>
              <c:f>サマリ!$AB$4:$BK$4</c:f>
              <c:numCache>
                <c:formatCode>_-* #,##0_-;\-* #,##0_-;_-* "-"_-;_-@_-</c:formatCode>
                <c:ptCount val="36"/>
                <c:pt idx="0">
                  <c:v>551.95714285714303</c:v>
                </c:pt>
                <c:pt idx="1">
                  <c:v>355.57142857142856</c:v>
                </c:pt>
                <c:pt idx="2">
                  <c:v>541.80000000000007</c:v>
                </c:pt>
                <c:pt idx="3">
                  <c:v>318.42857142857144</c:v>
                </c:pt>
                <c:pt idx="4">
                  <c:v>433.8</c:v>
                </c:pt>
                <c:pt idx="5">
                  <c:v>312.57142857142856</c:v>
                </c:pt>
                <c:pt idx="6">
                  <c:v>432.12857142857143</c:v>
                </c:pt>
                <c:pt idx="7">
                  <c:v>342.28571428571428</c:v>
                </c:pt>
                <c:pt idx="8">
                  <c:v>631.67142857142858</c:v>
                </c:pt>
                <c:pt idx="9">
                  <c:v>457.28571428571428</c:v>
                </c:pt>
                <c:pt idx="10">
                  <c:v>480.98571428571432</c:v>
                </c:pt>
                <c:pt idx="11">
                  <c:v>317.57142857142856</c:v>
                </c:pt>
                <c:pt idx="12">
                  <c:v>457.71428571428572</c:v>
                </c:pt>
                <c:pt idx="13">
                  <c:v>343.42857142857144</c:v>
                </c:pt>
                <c:pt idx="14">
                  <c:v>459.12857142857143</c:v>
                </c:pt>
                <c:pt idx="15">
                  <c:v>362.71428571428572</c:v>
                </c:pt>
                <c:pt idx="16">
                  <c:v>464.01428571428573</c:v>
                </c:pt>
                <c:pt idx="17">
                  <c:v>351.57142857142856</c:v>
                </c:pt>
                <c:pt idx="18">
                  <c:v>460.92857142857139</c:v>
                </c:pt>
                <c:pt idx="19">
                  <c:v>366.28571428571428</c:v>
                </c:pt>
                <c:pt idx="20">
                  <c:v>390.21428571428572</c:v>
                </c:pt>
                <c:pt idx="21">
                  <c:v>351.57142857142856</c:v>
                </c:pt>
                <c:pt idx="22">
                  <c:v>395.35714285714283</c:v>
                </c:pt>
                <c:pt idx="23">
                  <c:v>324.28571428571428</c:v>
                </c:pt>
                <c:pt idx="24">
                  <c:v>396.3857142857143</c:v>
                </c:pt>
                <c:pt idx="25">
                  <c:v>331</c:v>
                </c:pt>
                <c:pt idx="26">
                  <c:v>390.85714285714283</c:v>
                </c:pt>
                <c:pt idx="27">
                  <c:v>301.28571428571428</c:v>
                </c:pt>
                <c:pt idx="28">
                  <c:v>427.1142857142857</c:v>
                </c:pt>
                <c:pt idx="29">
                  <c:v>388.71428571428572</c:v>
                </c:pt>
                <c:pt idx="30">
                  <c:v>384.68571428571431</c:v>
                </c:pt>
                <c:pt idx="31">
                  <c:v>370.28571428571428</c:v>
                </c:pt>
                <c:pt idx="32">
                  <c:v>389.57142857142856</c:v>
                </c:pt>
                <c:pt idx="33">
                  <c:v>348</c:v>
                </c:pt>
                <c:pt idx="34">
                  <c:v>344.18571428571403</c:v>
                </c:pt>
                <c:pt idx="35">
                  <c:v>394.57142857142856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B3-401E-93FC-2999F60FDD79}"/>
            </c:ext>
          </c:extLst>
        </c:ser>
        <c:ser>
          <c:idx val="1"/>
          <c:order val="1"/>
          <c:tx>
            <c:strRef>
              <c:f>サマリ!$AA$5</c:f>
              <c:strCache>
                <c:ptCount val="1"/>
                <c:pt idx="0">
                  <c:v>SEM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multiLvlStrRef>
              <c:f>サマリ!$AB$2:$BK$3</c:f>
              <c:multiLvlStrCache>
                <c:ptCount val="36"/>
                <c:lvl>
                  <c:pt idx="0">
                    <c:v>BGT</c:v>
                  </c:pt>
                  <c:pt idx="1">
                    <c:v>ACT</c:v>
                  </c:pt>
                  <c:pt idx="2">
                    <c:v>BGT</c:v>
                  </c:pt>
                  <c:pt idx="3">
                    <c:v>ACT</c:v>
                  </c:pt>
                  <c:pt idx="4">
                    <c:v>BGT</c:v>
                  </c:pt>
                  <c:pt idx="5">
                    <c:v>ACT</c:v>
                  </c:pt>
                  <c:pt idx="6">
                    <c:v>BGT</c:v>
                  </c:pt>
                  <c:pt idx="7">
                    <c:v>ACT</c:v>
                  </c:pt>
                  <c:pt idx="8">
                    <c:v>BGT</c:v>
                  </c:pt>
                  <c:pt idx="9">
                    <c:v>ACT</c:v>
                  </c:pt>
                  <c:pt idx="10">
                    <c:v>BGT</c:v>
                  </c:pt>
                  <c:pt idx="11">
                    <c:v>ACT</c:v>
                  </c:pt>
                  <c:pt idx="12">
                    <c:v>BGT</c:v>
                  </c:pt>
                  <c:pt idx="13">
                    <c:v>ACT</c:v>
                  </c:pt>
                  <c:pt idx="14">
                    <c:v>BGT</c:v>
                  </c:pt>
                  <c:pt idx="15">
                    <c:v>ACT</c:v>
                  </c:pt>
                  <c:pt idx="16">
                    <c:v>BGT</c:v>
                  </c:pt>
                  <c:pt idx="17">
                    <c:v>ACT</c:v>
                  </c:pt>
                  <c:pt idx="18">
                    <c:v>BGT</c:v>
                  </c:pt>
                  <c:pt idx="19">
                    <c:v>ACT</c:v>
                  </c:pt>
                  <c:pt idx="20">
                    <c:v>BGT</c:v>
                  </c:pt>
                  <c:pt idx="21">
                    <c:v>ACT</c:v>
                  </c:pt>
                  <c:pt idx="22">
                    <c:v>BGT</c:v>
                  </c:pt>
                  <c:pt idx="23">
                    <c:v>ACT</c:v>
                  </c:pt>
                  <c:pt idx="24">
                    <c:v>BGT</c:v>
                  </c:pt>
                  <c:pt idx="25">
                    <c:v>ACT</c:v>
                  </c:pt>
                  <c:pt idx="26">
                    <c:v>BGT</c:v>
                  </c:pt>
                  <c:pt idx="27">
                    <c:v>ACT</c:v>
                  </c:pt>
                  <c:pt idx="28">
                    <c:v>BGT</c:v>
                  </c:pt>
                  <c:pt idx="29">
                    <c:v>ACT</c:v>
                  </c:pt>
                  <c:pt idx="30">
                    <c:v>BGT</c:v>
                  </c:pt>
                  <c:pt idx="31">
                    <c:v>ACT</c:v>
                  </c:pt>
                  <c:pt idx="32">
                    <c:v>BGT</c:v>
                  </c:pt>
                  <c:pt idx="33">
                    <c:v>ACT</c:v>
                  </c:pt>
                  <c:pt idx="34">
                    <c:v>BGT</c:v>
                  </c:pt>
                  <c:pt idx="35">
                    <c:v>ACT</c:v>
                  </c:pt>
                </c:lvl>
                <c:lvl>
                  <c:pt idx="0">
                    <c:v>1Week</c:v>
                  </c:pt>
                  <c:pt idx="2">
                    <c:v>2Week</c:v>
                  </c:pt>
                  <c:pt idx="4">
                    <c:v>3Week</c:v>
                  </c:pt>
                  <c:pt idx="6">
                    <c:v>4Week</c:v>
                  </c:pt>
                  <c:pt idx="8">
                    <c:v>5Week</c:v>
                  </c:pt>
                  <c:pt idx="10">
                    <c:v>6Week</c:v>
                  </c:pt>
                  <c:pt idx="12">
                    <c:v>7Week</c:v>
                  </c:pt>
                  <c:pt idx="14">
                    <c:v>8Week</c:v>
                  </c:pt>
                  <c:pt idx="16">
                    <c:v>9Week</c:v>
                  </c:pt>
                  <c:pt idx="18">
                    <c:v>10Week</c:v>
                  </c:pt>
                  <c:pt idx="20">
                    <c:v>11Week</c:v>
                  </c:pt>
                  <c:pt idx="22">
                    <c:v>12Week</c:v>
                  </c:pt>
                  <c:pt idx="24">
                    <c:v>13Week</c:v>
                  </c:pt>
                  <c:pt idx="26">
                    <c:v>14Week</c:v>
                  </c:pt>
                  <c:pt idx="28">
                    <c:v>15Week</c:v>
                  </c:pt>
                  <c:pt idx="30">
                    <c:v>16Week</c:v>
                  </c:pt>
                  <c:pt idx="32">
                    <c:v>17Week</c:v>
                  </c:pt>
                  <c:pt idx="34">
                    <c:v>18Week</c:v>
                  </c:pt>
                </c:lvl>
              </c:multiLvlStrCache>
            </c:multiLvlStrRef>
          </c:cat>
          <c:val>
            <c:numRef>
              <c:f>サマリ!$AB$5:$BK$5</c:f>
              <c:numCache>
                <c:formatCode>_-* #,##0_-;\-* #,##0_-;_-* "-"_-;_-@_-</c:formatCode>
                <c:ptCount val="36"/>
                <c:pt idx="0">
                  <c:v>708.57142857142856</c:v>
                </c:pt>
                <c:pt idx="1">
                  <c:v>539.14285714285711</c:v>
                </c:pt>
                <c:pt idx="2">
                  <c:v>643.33766233766232</c:v>
                </c:pt>
                <c:pt idx="3">
                  <c:v>520.71428571428567</c:v>
                </c:pt>
                <c:pt idx="4">
                  <c:v>730.01948051948045</c:v>
                </c:pt>
                <c:pt idx="5">
                  <c:v>588.28571428571433</c:v>
                </c:pt>
                <c:pt idx="6">
                  <c:v>911.68181818181813</c:v>
                </c:pt>
                <c:pt idx="7">
                  <c:v>675.14285714285711</c:v>
                </c:pt>
                <c:pt idx="8">
                  <c:v>909.29870129870119</c:v>
                </c:pt>
                <c:pt idx="9">
                  <c:v>715.85714285714289</c:v>
                </c:pt>
                <c:pt idx="10">
                  <c:v>760.48701298701292</c:v>
                </c:pt>
                <c:pt idx="11">
                  <c:v>713.71428571428567</c:v>
                </c:pt>
                <c:pt idx="12">
                  <c:v>844.34573425443978</c:v>
                </c:pt>
                <c:pt idx="13">
                  <c:v>683.71428571428567</c:v>
                </c:pt>
                <c:pt idx="14">
                  <c:v>837.80597299817202</c:v>
                </c:pt>
                <c:pt idx="15">
                  <c:v>606.42857142857144</c:v>
                </c:pt>
                <c:pt idx="16">
                  <c:v>837.80597299817202</c:v>
                </c:pt>
                <c:pt idx="17">
                  <c:v>612.28571428571433</c:v>
                </c:pt>
                <c:pt idx="18">
                  <c:v>837.80597299817202</c:v>
                </c:pt>
                <c:pt idx="19">
                  <c:v>648</c:v>
                </c:pt>
                <c:pt idx="20">
                  <c:v>797.28571428571433</c:v>
                </c:pt>
                <c:pt idx="21">
                  <c:v>664.85714285714289</c:v>
                </c:pt>
                <c:pt idx="22">
                  <c:v>797.28571428571433</c:v>
                </c:pt>
                <c:pt idx="23">
                  <c:v>657.85714285714289</c:v>
                </c:pt>
                <c:pt idx="24">
                  <c:v>797.28571428571433</c:v>
                </c:pt>
                <c:pt idx="25">
                  <c:v>696.57142857142856</c:v>
                </c:pt>
                <c:pt idx="26">
                  <c:v>770.57142857142856</c:v>
                </c:pt>
                <c:pt idx="27">
                  <c:v>726.57142857142856</c:v>
                </c:pt>
                <c:pt idx="28">
                  <c:v>770.57142857142856</c:v>
                </c:pt>
                <c:pt idx="29">
                  <c:v>753.28571428571433</c:v>
                </c:pt>
                <c:pt idx="30">
                  <c:v>770.57142857142856</c:v>
                </c:pt>
                <c:pt idx="31">
                  <c:v>777.85714285714289</c:v>
                </c:pt>
                <c:pt idx="32">
                  <c:v>770.42857142857144</c:v>
                </c:pt>
                <c:pt idx="33">
                  <c:v>843</c:v>
                </c:pt>
                <c:pt idx="34">
                  <c:v>817</c:v>
                </c:pt>
                <c:pt idx="35">
                  <c:v>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B3-401E-93FC-2999F60FD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640385776"/>
        <c:axId val="1640386256"/>
      </c:barChart>
      <c:lineChart>
        <c:grouping val="standard"/>
        <c:varyColors val="0"/>
        <c:ser>
          <c:idx val="2"/>
          <c:order val="2"/>
          <c:tx>
            <c:strRef>
              <c:f>サマリ!$AA$6</c:f>
              <c:strCache>
                <c:ptCount val="1"/>
                <c:pt idx="0">
                  <c:v>BvA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50800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dLbl>
              <c:idx val="35"/>
              <c:layout>
                <c:manualLayout>
                  <c:x val="-2.1293721174649591E-2"/>
                  <c:y val="-0.110339395001277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7D-46B4-BA0E-70C53AFE6669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サマリ!$AB$6:$BK$6</c:f>
              <c:numCache>
                <c:formatCode>0%</c:formatCode>
                <c:ptCount val="36"/>
                <c:pt idx="1">
                  <c:v>0.70979294400308257</c:v>
                </c:pt>
                <c:pt idx="3">
                  <c:v>0.70805517688777453</c:v>
                </c:pt>
                <c:pt idx="5">
                  <c:v>0.77405229757370775</c:v>
                </c:pt>
                <c:pt idx="7">
                  <c:v>0.7571221202743893</c:v>
                </c:pt>
                <c:pt idx="9">
                  <c:v>0.76130149079640341</c:v>
                </c:pt>
                <c:pt idx="11">
                  <c:v>0.83069542457952106</c:v>
                </c:pt>
                <c:pt idx="13">
                  <c:v>0.78885983855608155</c:v>
                </c:pt>
                <c:pt idx="15">
                  <c:v>0.74725656842707266</c:v>
                </c:pt>
                <c:pt idx="17">
                  <c:v>0.74039187545785212</c:v>
                </c:pt>
                <c:pt idx="19">
                  <c:v>0.78098000752988062</c:v>
                </c:pt>
                <c:pt idx="21">
                  <c:v>0.85593984962406011</c:v>
                </c:pt>
                <c:pt idx="23">
                  <c:v>0.82350122776546686</c:v>
                </c:pt>
                <c:pt idx="25">
                  <c:v>0.8608494799956915</c:v>
                </c:pt>
                <c:pt idx="27">
                  <c:v>0.8849938499384995</c:v>
                </c:pt>
                <c:pt idx="29">
                  <c:v>0.95350557026646621</c:v>
                </c:pt>
                <c:pt idx="31">
                  <c:v>0.99384181629321866</c:v>
                </c:pt>
                <c:pt idx="33">
                  <c:v>1.0267241379310346</c:v>
                </c:pt>
                <c:pt idx="35">
                  <c:v>1.1363999852367654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B3-401E-93FC-2999F60FD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4575327"/>
        <c:axId val="955375087"/>
      </c:lineChart>
      <c:catAx>
        <c:axId val="164038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640386256"/>
        <c:crosses val="autoZero"/>
        <c:auto val="1"/>
        <c:lblAlgn val="ctr"/>
        <c:lblOffset val="100"/>
        <c:noMultiLvlLbl val="0"/>
      </c:catAx>
      <c:valAx>
        <c:axId val="164038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ja-JP"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Rakuten Sans JP" panose="020B0400000000000000" pitchFamily="34" charset="-128"/>
                  <a:ea typeface="Rakuten Sans JP" panose="020B0400000000000000" pitchFamily="34" charset="-128"/>
                  <a:cs typeface="+mn-cs"/>
                </a:defRPr>
              </a:pPr>
              <a:endParaRPr lang="en-US"/>
            </a:p>
          </c:txPr>
        </c:title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1640385776"/>
        <c:crosses val="autoZero"/>
        <c:crossBetween val="between"/>
      </c:valAx>
      <c:valAx>
        <c:axId val="95537508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964575327"/>
        <c:crosses val="max"/>
        <c:crossBetween val="between"/>
      </c:valAx>
      <c:catAx>
        <c:axId val="964575327"/>
        <c:scaling>
          <c:orientation val="minMax"/>
        </c:scaling>
        <c:delete val="1"/>
        <c:axPos val="b"/>
        <c:majorTickMark val="out"/>
        <c:minorTickMark val="none"/>
        <c:tickLblPos val="nextTo"/>
        <c:crossAx val="955375087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サマリ!$C$28</c:f>
              <c:strCache>
                <c:ptCount val="1"/>
                <c:pt idx="0">
                  <c:v>AFF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tx2">
                  <a:lumMod val="60000"/>
                  <a:lumOff val="40000"/>
                </a:schemeClr>
              </a:solidFill>
              <a:prstDash val="sysDash"/>
            </a:ln>
            <a:effectLst/>
          </c:spPr>
          <c:invertIfNegative val="0"/>
          <c:cat>
            <c:multiLvlStrRef>
              <c:f>サマリ!$B$31:$B$32</c:f>
            </c:multiLvlStrRef>
          </c:cat>
          <c:val>
            <c:numRef>
              <c:f>サマリ!$C$31:$C$32</c:f>
            </c:numRef>
          </c:val>
          <c:extLst>
            <c:ext xmlns:c16="http://schemas.microsoft.com/office/drawing/2014/chart" uri="{C3380CC4-5D6E-409C-BE32-E72D297353CC}">
              <c16:uniqueId val="{00000000-FB7E-4496-AE07-DDC3291592A6}"/>
            </c:ext>
          </c:extLst>
        </c:ser>
        <c:ser>
          <c:idx val="1"/>
          <c:order val="1"/>
          <c:tx>
            <c:strRef>
              <c:f>サマリ!$D$28</c:f>
              <c:strCache>
                <c:ptCount val="1"/>
                <c:pt idx="0">
                  <c:v>SEM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サマリ!$B$31:$B$32</c:f>
            </c:multiLvlStrRef>
          </c:cat>
          <c:val>
            <c:numRef>
              <c:f>サマリ!$D$31:$D$32</c:f>
            </c:numRef>
          </c:val>
          <c:extLst>
            <c:ext xmlns:c16="http://schemas.microsoft.com/office/drawing/2014/chart" uri="{C3380CC4-5D6E-409C-BE32-E72D297353CC}">
              <c16:uniqueId val="{00000001-FB7E-4496-AE07-DDC3291592A6}"/>
            </c:ext>
          </c:extLst>
        </c:ser>
        <c:ser>
          <c:idx val="2"/>
          <c:order val="2"/>
          <c:tx>
            <c:strRef>
              <c:f>サマリ!$E$28</c:f>
              <c:strCache>
                <c:ptCount val="1"/>
                <c:pt idx="0">
                  <c:v>Display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サマリ!$B$31:$B$32</c:f>
            </c:multiLvlStrRef>
          </c:cat>
          <c:val>
            <c:numRef>
              <c:f>サマリ!$E$31:$E$32</c:f>
            </c:numRef>
          </c:val>
          <c:extLst>
            <c:ext xmlns:c16="http://schemas.microsoft.com/office/drawing/2014/chart" uri="{C3380CC4-5D6E-409C-BE32-E72D297353CC}">
              <c16:uniqueId val="{00000002-FB7E-4496-AE07-DDC329159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100"/>
        <c:serLines>
          <c:spPr>
            <a:ln w="41275" cap="flat" cmpd="sng" algn="ctr">
              <a:solidFill>
                <a:srgbClr val="C00000"/>
              </a:solidFill>
              <a:prstDash val="sysDot"/>
              <a:round/>
            </a:ln>
            <a:effectLst/>
          </c:spPr>
        </c:serLines>
        <c:axId val="485659391"/>
        <c:axId val="485648351"/>
      </c:barChart>
      <c:catAx>
        <c:axId val="48565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648351"/>
        <c:crosses val="autoZero"/>
        <c:auto val="1"/>
        <c:lblAlgn val="ctr"/>
        <c:lblOffset val="100"/>
        <c:noMultiLvlLbl val="0"/>
      </c:catAx>
      <c:valAx>
        <c:axId val="48564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659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ja-JP"/>
              <a:t>全体</a:t>
            </a:r>
            <a:r>
              <a:rPr lang="en-US"/>
              <a:t>_</a:t>
            </a:r>
            <a:r>
              <a:rPr lang="ja-JP"/>
              <a:t>目標対比</a:t>
            </a:r>
            <a:r>
              <a:rPr lang="en-US"/>
              <a:t>_Condition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/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ja-JP" alt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3"/>
          <c:tx>
            <c:v>AFF_Budget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サマリ!$D$20:$X$20</c:f>
              <c:strCache>
                <c:ptCount val="21"/>
                <c:pt idx="0">
                  <c:v>1Week</c:v>
                </c:pt>
                <c:pt idx="1">
                  <c:v>2Week</c:v>
                </c:pt>
                <c:pt idx="2">
                  <c:v>3Week</c:v>
                </c:pt>
                <c:pt idx="3">
                  <c:v>4Week</c:v>
                </c:pt>
                <c:pt idx="4">
                  <c:v>5Week</c:v>
                </c:pt>
                <c:pt idx="5">
                  <c:v>6Week</c:v>
                </c:pt>
                <c:pt idx="6">
                  <c:v>7Week</c:v>
                </c:pt>
                <c:pt idx="7">
                  <c:v>8Week</c:v>
                </c:pt>
                <c:pt idx="8">
                  <c:v>9Week</c:v>
                </c:pt>
                <c:pt idx="9">
                  <c:v>10Week</c:v>
                </c:pt>
                <c:pt idx="10">
                  <c:v>11Week</c:v>
                </c:pt>
                <c:pt idx="11">
                  <c:v>12Week</c:v>
                </c:pt>
                <c:pt idx="12">
                  <c:v>13Week</c:v>
                </c:pt>
                <c:pt idx="13">
                  <c:v>14Week</c:v>
                </c:pt>
                <c:pt idx="14">
                  <c:v>15Week</c:v>
                </c:pt>
                <c:pt idx="15">
                  <c:v>16Week</c:v>
                </c:pt>
                <c:pt idx="16">
                  <c:v>17Week</c:v>
                </c:pt>
                <c:pt idx="17">
                  <c:v>18Week</c:v>
                </c:pt>
                <c:pt idx="18">
                  <c:v>19Week</c:v>
                </c:pt>
                <c:pt idx="19">
                  <c:v>20Week</c:v>
                </c:pt>
                <c:pt idx="20">
                  <c:v>21Week</c:v>
                </c:pt>
              </c:strCache>
            </c:strRef>
          </c:cat>
          <c:val>
            <c:numRef>
              <c:f>サマリ!$D$16:$X$16</c:f>
              <c:numCache>
                <c:formatCode>_-* #,##0_-;\-* #,##0_-;_-* "-"_-;_-@_-</c:formatCode>
                <c:ptCount val="21"/>
                <c:pt idx="0">
                  <c:v>551.95714285714303</c:v>
                </c:pt>
                <c:pt idx="1">
                  <c:v>541.80000000000007</c:v>
                </c:pt>
                <c:pt idx="2">
                  <c:v>433.8</c:v>
                </c:pt>
                <c:pt idx="3">
                  <c:v>432.12857142857143</c:v>
                </c:pt>
                <c:pt idx="4">
                  <c:v>631.67142857142858</c:v>
                </c:pt>
                <c:pt idx="5">
                  <c:v>480.98571428571432</c:v>
                </c:pt>
                <c:pt idx="6">
                  <c:v>457.71428571428572</c:v>
                </c:pt>
                <c:pt idx="7">
                  <c:v>459.12857142857143</c:v>
                </c:pt>
                <c:pt idx="8">
                  <c:v>464.01428571428573</c:v>
                </c:pt>
                <c:pt idx="9">
                  <c:v>460.92857142857139</c:v>
                </c:pt>
                <c:pt idx="10">
                  <c:v>390.21428571428572</c:v>
                </c:pt>
                <c:pt idx="11">
                  <c:v>395.35714285714283</c:v>
                </c:pt>
                <c:pt idx="12">
                  <c:v>396.3857142857143</c:v>
                </c:pt>
                <c:pt idx="13">
                  <c:v>390.85714285714283</c:v>
                </c:pt>
                <c:pt idx="14">
                  <c:v>427.1142857142857</c:v>
                </c:pt>
                <c:pt idx="15">
                  <c:v>384.68571428571431</c:v>
                </c:pt>
                <c:pt idx="16">
                  <c:v>389.57142857142856</c:v>
                </c:pt>
                <c:pt idx="17">
                  <c:v>351.90000000000003</c:v>
                </c:pt>
                <c:pt idx="18">
                  <c:v>342.51428571428573</c:v>
                </c:pt>
                <c:pt idx="19">
                  <c:v>344.18571428571403</c:v>
                </c:pt>
                <c:pt idx="20">
                  <c:v>344.18571428571403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5A-46AD-BE66-37CFB978D559}"/>
            </c:ext>
          </c:extLst>
        </c:ser>
        <c:ser>
          <c:idx val="2"/>
          <c:order val="4"/>
          <c:tx>
            <c:v>SEM_Budget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サマリ!$D$20:$X$20</c:f>
              <c:strCache>
                <c:ptCount val="21"/>
                <c:pt idx="0">
                  <c:v>1Week</c:v>
                </c:pt>
                <c:pt idx="1">
                  <c:v>2Week</c:v>
                </c:pt>
                <c:pt idx="2">
                  <c:v>3Week</c:v>
                </c:pt>
                <c:pt idx="3">
                  <c:v>4Week</c:v>
                </c:pt>
                <c:pt idx="4">
                  <c:v>5Week</c:v>
                </c:pt>
                <c:pt idx="5">
                  <c:v>6Week</c:v>
                </c:pt>
                <c:pt idx="6">
                  <c:v>7Week</c:v>
                </c:pt>
                <c:pt idx="7">
                  <c:v>8Week</c:v>
                </c:pt>
                <c:pt idx="8">
                  <c:v>9Week</c:v>
                </c:pt>
                <c:pt idx="9">
                  <c:v>10Week</c:v>
                </c:pt>
                <c:pt idx="10">
                  <c:v>11Week</c:v>
                </c:pt>
                <c:pt idx="11">
                  <c:v>12Week</c:v>
                </c:pt>
                <c:pt idx="12">
                  <c:v>13Week</c:v>
                </c:pt>
                <c:pt idx="13">
                  <c:v>14Week</c:v>
                </c:pt>
                <c:pt idx="14">
                  <c:v>15Week</c:v>
                </c:pt>
                <c:pt idx="15">
                  <c:v>16Week</c:v>
                </c:pt>
                <c:pt idx="16">
                  <c:v>17Week</c:v>
                </c:pt>
                <c:pt idx="17">
                  <c:v>18Week</c:v>
                </c:pt>
                <c:pt idx="18">
                  <c:v>19Week</c:v>
                </c:pt>
                <c:pt idx="19">
                  <c:v>20Week</c:v>
                </c:pt>
                <c:pt idx="20">
                  <c:v>21Week</c:v>
                </c:pt>
              </c:strCache>
            </c:strRef>
          </c:cat>
          <c:val>
            <c:numRef>
              <c:f>サマリ!$D$17:$X$17</c:f>
              <c:numCache>
                <c:formatCode>_-* #,##0_-;\-* #,##0_-;_-* "-"_-;_-@_-</c:formatCode>
                <c:ptCount val="21"/>
                <c:pt idx="0">
                  <c:v>708.57142857142856</c:v>
                </c:pt>
                <c:pt idx="1">
                  <c:v>643.33766233766232</c:v>
                </c:pt>
                <c:pt idx="2">
                  <c:v>730.01948051948045</c:v>
                </c:pt>
                <c:pt idx="3">
                  <c:v>911.68181818181813</c:v>
                </c:pt>
                <c:pt idx="4">
                  <c:v>909.29870129870119</c:v>
                </c:pt>
                <c:pt idx="5">
                  <c:v>760.48701298701292</c:v>
                </c:pt>
                <c:pt idx="6">
                  <c:v>844.34573425443978</c:v>
                </c:pt>
                <c:pt idx="7">
                  <c:v>837.80597299817202</c:v>
                </c:pt>
                <c:pt idx="8">
                  <c:v>837.80597299817202</c:v>
                </c:pt>
                <c:pt idx="9">
                  <c:v>837.80597299817202</c:v>
                </c:pt>
                <c:pt idx="10">
                  <c:v>797.28571428571433</c:v>
                </c:pt>
                <c:pt idx="11">
                  <c:v>797.28571428571433</c:v>
                </c:pt>
                <c:pt idx="12">
                  <c:v>797.28571428571433</c:v>
                </c:pt>
                <c:pt idx="13">
                  <c:v>770.57142857142856</c:v>
                </c:pt>
                <c:pt idx="14">
                  <c:v>770.57142857142856</c:v>
                </c:pt>
                <c:pt idx="15">
                  <c:v>770.57142857142856</c:v>
                </c:pt>
                <c:pt idx="16">
                  <c:v>770.42857142857144</c:v>
                </c:pt>
                <c:pt idx="17">
                  <c:v>794</c:v>
                </c:pt>
                <c:pt idx="18">
                  <c:v>802.28571428571433</c:v>
                </c:pt>
                <c:pt idx="19">
                  <c:v>810.71428571428567</c:v>
                </c:pt>
                <c:pt idx="20">
                  <c:v>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5A-46AD-BE66-37CFB978D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9184960"/>
        <c:axId val="259179200"/>
      </c:barChart>
      <c:lineChart>
        <c:grouping val="standard"/>
        <c:varyColors val="0"/>
        <c:ser>
          <c:idx val="1"/>
          <c:order val="0"/>
          <c:tx>
            <c:v>全体_BvA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60000"/>
                  <a:lumOff val="40000"/>
                </a:schemeClr>
              </a:solidFill>
              <a:ln w="50800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dLbls>
            <c:dLbl>
              <c:idx val="20"/>
              <c:layout>
                <c:manualLayout>
                  <c:x val="-1.1120688719138338E-3"/>
                  <c:y val="-8.215899971858926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Rakuten Sans JP" panose="020B0400000000000000" pitchFamily="34" charset="-128"/>
                      <a:ea typeface="Rakuten Sans JP" panose="020B0400000000000000" pitchFamily="34" charset="-128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00D-4861-AF87-E3FB12DB75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サマリ!$D$20:$X$20</c:f>
              <c:strCache>
                <c:ptCount val="21"/>
                <c:pt idx="0">
                  <c:v>1Week</c:v>
                </c:pt>
                <c:pt idx="1">
                  <c:v>2Week</c:v>
                </c:pt>
                <c:pt idx="2">
                  <c:v>3Week</c:v>
                </c:pt>
                <c:pt idx="3">
                  <c:v>4Week</c:v>
                </c:pt>
                <c:pt idx="4">
                  <c:v>5Week</c:v>
                </c:pt>
                <c:pt idx="5">
                  <c:v>6Week</c:v>
                </c:pt>
                <c:pt idx="6">
                  <c:v>7Week</c:v>
                </c:pt>
                <c:pt idx="7">
                  <c:v>8Week</c:v>
                </c:pt>
                <c:pt idx="8">
                  <c:v>9Week</c:v>
                </c:pt>
                <c:pt idx="9">
                  <c:v>10Week</c:v>
                </c:pt>
                <c:pt idx="10">
                  <c:v>11Week</c:v>
                </c:pt>
                <c:pt idx="11">
                  <c:v>12Week</c:v>
                </c:pt>
                <c:pt idx="12">
                  <c:v>13Week</c:v>
                </c:pt>
                <c:pt idx="13">
                  <c:v>14Week</c:v>
                </c:pt>
                <c:pt idx="14">
                  <c:v>15Week</c:v>
                </c:pt>
                <c:pt idx="15">
                  <c:v>16Week</c:v>
                </c:pt>
                <c:pt idx="16">
                  <c:v>17Week</c:v>
                </c:pt>
                <c:pt idx="17">
                  <c:v>18Week</c:v>
                </c:pt>
                <c:pt idx="18">
                  <c:v>19Week</c:v>
                </c:pt>
                <c:pt idx="19">
                  <c:v>20Week</c:v>
                </c:pt>
                <c:pt idx="20">
                  <c:v>21Week</c:v>
                </c:pt>
              </c:strCache>
            </c:strRef>
          </c:cat>
          <c:val>
            <c:numRef>
              <c:f>サマリ!$D$24:$X$24</c:f>
              <c:numCache>
                <c:formatCode>0.0%</c:formatCode>
                <c:ptCount val="21"/>
                <c:pt idx="0">
                  <c:v>0.71035959971440554</c:v>
                </c:pt>
                <c:pt idx="1">
                  <c:v>0.70865787962601756</c:v>
                </c:pt>
                <c:pt idx="2">
                  <c:v>0.79590153781603568</c:v>
                </c:pt>
                <c:pt idx="3">
                  <c:v>0.7625438035282498</c:v>
                </c:pt>
                <c:pt idx="4">
                  <c:v>0.76250666850954918</c:v>
                </c:pt>
                <c:pt idx="5">
                  <c:v>0.83656403057114825</c:v>
                </c:pt>
                <c:pt idx="6">
                  <c:v>0.79193189356019422</c:v>
                </c:pt>
                <c:pt idx="7">
                  <c:v>0.75045091401734165</c:v>
                </c:pt>
                <c:pt idx="8">
                  <c:v>0.76113206583306092</c:v>
                </c:pt>
                <c:pt idx="9">
                  <c:v>0.79835956262702457</c:v>
                </c:pt>
                <c:pt idx="10">
                  <c:v>0.8565413533834586</c:v>
                </c:pt>
                <c:pt idx="11">
                  <c:v>0.82386057375576449</c:v>
                </c:pt>
                <c:pt idx="12">
                  <c:v>0.86084947999569161</c:v>
                </c:pt>
                <c:pt idx="13">
                  <c:v>0.8849938499384995</c:v>
                </c:pt>
                <c:pt idx="14">
                  <c:v>0.95350557026646621</c:v>
                </c:pt>
                <c:pt idx="15">
                  <c:v>0.99384181629321866</c:v>
                </c:pt>
                <c:pt idx="16">
                  <c:v>1.0267241379310346</c:v>
                </c:pt>
                <c:pt idx="17">
                  <c:v>1.0524478575791953</c:v>
                </c:pt>
                <c:pt idx="18">
                  <c:v>1.0735499650593989</c:v>
                </c:pt>
                <c:pt idx="19">
                  <c:v>1.0866741709238898</c:v>
                </c:pt>
                <c:pt idx="20">
                  <c:v>1.1363999852367654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5A-46AD-BE66-37CFB978D559}"/>
            </c:ext>
          </c:extLst>
        </c:ser>
        <c:ser>
          <c:idx val="4"/>
          <c:order val="1"/>
          <c:tx>
            <c:v>AFF_BvA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50800">
                <a:solidFill>
                  <a:srgbClr val="C00000"/>
                </a:solidFill>
              </a:ln>
              <a:effectLst/>
            </c:spPr>
          </c:marker>
          <c:dLbls>
            <c:dLbl>
              <c:idx val="20"/>
              <c:layout>
                <c:manualLayout>
                  <c:x val="-3.3250341295991714E-3"/>
                  <c:y val="-4.86029378429951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Rakuten Sans JP" panose="020B0400000000000000" pitchFamily="34" charset="-128"/>
                      <a:ea typeface="Rakuten Sans JP" panose="020B0400000000000000" pitchFamily="34" charset="-128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EF1-42DB-B801-B5EC8FB30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サマリ!$D$20:$X$20</c:f>
              <c:strCache>
                <c:ptCount val="21"/>
                <c:pt idx="0">
                  <c:v>1Week</c:v>
                </c:pt>
                <c:pt idx="1">
                  <c:v>2Week</c:v>
                </c:pt>
                <c:pt idx="2">
                  <c:v>3Week</c:v>
                </c:pt>
                <c:pt idx="3">
                  <c:v>4Week</c:v>
                </c:pt>
                <c:pt idx="4">
                  <c:v>5Week</c:v>
                </c:pt>
                <c:pt idx="5">
                  <c:v>6Week</c:v>
                </c:pt>
                <c:pt idx="6">
                  <c:v>7Week</c:v>
                </c:pt>
                <c:pt idx="7">
                  <c:v>8Week</c:v>
                </c:pt>
                <c:pt idx="8">
                  <c:v>9Week</c:v>
                </c:pt>
                <c:pt idx="9">
                  <c:v>10Week</c:v>
                </c:pt>
                <c:pt idx="10">
                  <c:v>11Week</c:v>
                </c:pt>
                <c:pt idx="11">
                  <c:v>12Week</c:v>
                </c:pt>
                <c:pt idx="12">
                  <c:v>13Week</c:v>
                </c:pt>
                <c:pt idx="13">
                  <c:v>14Week</c:v>
                </c:pt>
                <c:pt idx="14">
                  <c:v>15Week</c:v>
                </c:pt>
                <c:pt idx="15">
                  <c:v>16Week</c:v>
                </c:pt>
                <c:pt idx="16">
                  <c:v>17Week</c:v>
                </c:pt>
                <c:pt idx="17">
                  <c:v>18Week</c:v>
                </c:pt>
                <c:pt idx="18">
                  <c:v>19Week</c:v>
                </c:pt>
                <c:pt idx="19">
                  <c:v>20Week</c:v>
                </c:pt>
                <c:pt idx="20">
                  <c:v>21Week</c:v>
                </c:pt>
              </c:strCache>
            </c:strRef>
          </c:cat>
          <c:val>
            <c:numRef>
              <c:f>サマリ!$D$22:$X$22</c:f>
              <c:numCache>
                <c:formatCode>0.0%</c:formatCode>
                <c:ptCount val="21"/>
                <c:pt idx="0">
                  <c:v>0.64420115433392844</c:v>
                </c:pt>
                <c:pt idx="1">
                  <c:v>0.58772346147761423</c:v>
                </c:pt>
                <c:pt idx="2">
                  <c:v>0.72054271224395705</c:v>
                </c:pt>
                <c:pt idx="3">
                  <c:v>0.79209230057191971</c:v>
                </c:pt>
                <c:pt idx="4">
                  <c:v>0.72392971029242148</c:v>
                </c:pt>
                <c:pt idx="5">
                  <c:v>0.66025126971398018</c:v>
                </c:pt>
                <c:pt idx="6">
                  <c:v>0.75031210986267172</c:v>
                </c:pt>
                <c:pt idx="7">
                  <c:v>0.79000591182052959</c:v>
                </c:pt>
                <c:pt idx="8">
                  <c:v>0.75767371694221231</c:v>
                </c:pt>
                <c:pt idx="9">
                  <c:v>0.79466914613358131</c:v>
                </c:pt>
                <c:pt idx="10">
                  <c:v>0.90097016291414966</c:v>
                </c:pt>
                <c:pt idx="11">
                  <c:v>0.8202348690153568</c:v>
                </c:pt>
                <c:pt idx="12">
                  <c:v>0.83504523011496734</c:v>
                </c:pt>
                <c:pt idx="13">
                  <c:v>0.77083333333333337</c:v>
                </c:pt>
                <c:pt idx="14">
                  <c:v>0.91009432069034724</c:v>
                </c:pt>
                <c:pt idx="15">
                  <c:v>0.96256684491978606</c:v>
                </c:pt>
                <c:pt idx="16">
                  <c:v>0.89328932893289337</c:v>
                </c:pt>
                <c:pt idx="17">
                  <c:v>0.94913327649900525</c:v>
                </c:pt>
                <c:pt idx="18">
                  <c:v>1.0744077410744077</c:v>
                </c:pt>
                <c:pt idx="19">
                  <c:v>1.1447308346822738</c:v>
                </c:pt>
                <c:pt idx="20">
                  <c:v>1.1463910679450471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5A-46AD-BE66-37CFB978D559}"/>
            </c:ext>
          </c:extLst>
        </c:ser>
        <c:ser>
          <c:idx val="5"/>
          <c:order val="2"/>
          <c:tx>
            <c:v>SEM_BvA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50800">
                <a:solidFill>
                  <a:srgbClr val="00B050"/>
                </a:solidFill>
              </a:ln>
              <a:effectLst/>
            </c:spPr>
          </c:marker>
          <c:dLbls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EF1-42DB-B801-B5EC8FB30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サマリ!$D$20:$X$20</c:f>
              <c:strCache>
                <c:ptCount val="21"/>
                <c:pt idx="0">
                  <c:v>1Week</c:v>
                </c:pt>
                <c:pt idx="1">
                  <c:v>2Week</c:v>
                </c:pt>
                <c:pt idx="2">
                  <c:v>3Week</c:v>
                </c:pt>
                <c:pt idx="3">
                  <c:v>4Week</c:v>
                </c:pt>
                <c:pt idx="4">
                  <c:v>5Week</c:v>
                </c:pt>
                <c:pt idx="5">
                  <c:v>6Week</c:v>
                </c:pt>
                <c:pt idx="6">
                  <c:v>7Week</c:v>
                </c:pt>
                <c:pt idx="7">
                  <c:v>8Week</c:v>
                </c:pt>
                <c:pt idx="8">
                  <c:v>9Week</c:v>
                </c:pt>
                <c:pt idx="9">
                  <c:v>10Week</c:v>
                </c:pt>
                <c:pt idx="10">
                  <c:v>11Week</c:v>
                </c:pt>
                <c:pt idx="11">
                  <c:v>12Week</c:v>
                </c:pt>
                <c:pt idx="12">
                  <c:v>13Week</c:v>
                </c:pt>
                <c:pt idx="13">
                  <c:v>14Week</c:v>
                </c:pt>
                <c:pt idx="14">
                  <c:v>15Week</c:v>
                </c:pt>
                <c:pt idx="15">
                  <c:v>16Week</c:v>
                </c:pt>
                <c:pt idx="16">
                  <c:v>17Week</c:v>
                </c:pt>
                <c:pt idx="17">
                  <c:v>18Week</c:v>
                </c:pt>
                <c:pt idx="18">
                  <c:v>19Week</c:v>
                </c:pt>
                <c:pt idx="19">
                  <c:v>20Week</c:v>
                </c:pt>
                <c:pt idx="20">
                  <c:v>21Week</c:v>
                </c:pt>
              </c:strCache>
            </c:strRef>
          </c:cat>
          <c:val>
            <c:numRef>
              <c:f>サマリ!$D$23:$X$23</c:f>
              <c:numCache>
                <c:formatCode>0.0%</c:formatCode>
                <c:ptCount val="21"/>
                <c:pt idx="0">
                  <c:v>0.76088709677419353</c:v>
                </c:pt>
                <c:pt idx="1">
                  <c:v>0.80939499767850287</c:v>
                </c:pt>
                <c:pt idx="2">
                  <c:v>0.80584933687946436</c:v>
                </c:pt>
                <c:pt idx="3">
                  <c:v>0.74054658508963744</c:v>
                </c:pt>
                <c:pt idx="4">
                  <c:v>0.78726291133455228</c:v>
                </c:pt>
                <c:pt idx="5">
                  <c:v>0.93849634974170693</c:v>
                </c:pt>
                <c:pt idx="6">
                  <c:v>0.80975630950277466</c:v>
                </c:pt>
                <c:pt idx="7">
                  <c:v>0.72382937216167897</c:v>
                </c:pt>
                <c:pt idx="8">
                  <c:v>0.73082042145699799</c:v>
                </c:pt>
                <c:pt idx="9">
                  <c:v>0.77344877081869867</c:v>
                </c:pt>
                <c:pt idx="10">
                  <c:v>0.83390073463536996</c:v>
                </c:pt>
                <c:pt idx="11">
                  <c:v>0.82512094606701303</c:v>
                </c:pt>
                <c:pt idx="12">
                  <c:v>0.87367855223078295</c:v>
                </c:pt>
                <c:pt idx="13">
                  <c:v>0.94289951798294402</c:v>
                </c:pt>
                <c:pt idx="14">
                  <c:v>0.97756766777901383</c:v>
                </c:pt>
                <c:pt idx="15">
                  <c:v>1.0094549499443828</c:v>
                </c:pt>
                <c:pt idx="16">
                  <c:v>1.0941961802336362</c:v>
                </c:pt>
                <c:pt idx="17">
                  <c:v>1.0982367758186398</c:v>
                </c:pt>
                <c:pt idx="18">
                  <c:v>1.0731837606837606</c:v>
                </c:pt>
                <c:pt idx="19">
                  <c:v>1.0620264317180617</c:v>
                </c:pt>
                <c:pt idx="20">
                  <c:v>1.1321909424724603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5A-46AD-BE66-37CFB978D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855984"/>
        <c:axId val="255853584"/>
      </c:lineChart>
      <c:catAx>
        <c:axId val="25918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800" b="0" i="0" u="none" strike="noStrike" kern="120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59179200"/>
        <c:crosses val="autoZero"/>
        <c:auto val="1"/>
        <c:lblAlgn val="ctr"/>
        <c:lblOffset val="100"/>
        <c:noMultiLvlLbl val="0"/>
      </c:catAx>
      <c:valAx>
        <c:axId val="25917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59184960"/>
        <c:crosses val="autoZero"/>
        <c:crossBetween val="between"/>
      </c:valAx>
      <c:valAx>
        <c:axId val="25585358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55855984"/>
        <c:crosses val="max"/>
        <c:crossBetween val="between"/>
      </c:valAx>
      <c:catAx>
        <c:axId val="2558559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558535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/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ja-JP" sz="1400" b="0" i="0" u="none" strike="noStrike" kern="1200" spc="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r>
              <a:rPr lang="ja-JP"/>
              <a:t>全体</a:t>
            </a:r>
            <a:r>
              <a:rPr lang="en-US"/>
              <a:t>_</a:t>
            </a:r>
            <a:r>
              <a:rPr lang="ja-JP"/>
              <a:t>目標対比</a:t>
            </a:r>
            <a:r>
              <a:rPr lang="en-US"/>
              <a:t>_Condition</a:t>
            </a:r>
            <a:endParaRPr 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/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ja-JP" alt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全体_BvA</c:v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60000"/>
                  <a:lumOff val="40000"/>
                </a:schemeClr>
              </a:solidFill>
              <a:ln w="50800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dLbls>
            <c:dLbl>
              <c:idx val="18"/>
              <c:layout>
                <c:manualLayout>
                  <c:x val="-4.3254996377821379E-3"/>
                  <c:y val="0.1307074995523010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43A-4168-A764-7D0FFDFC47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1200" b="1" i="0" u="none" strike="noStrike" kern="1200" baseline="0">
                    <a:solidFill>
                      <a:schemeClr val="tx1"/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サマリ!$D$20:$X$20</c:f>
              <c:strCache>
                <c:ptCount val="21"/>
                <c:pt idx="0">
                  <c:v>1Week</c:v>
                </c:pt>
                <c:pt idx="1">
                  <c:v>2Week</c:v>
                </c:pt>
                <c:pt idx="2">
                  <c:v>3Week</c:v>
                </c:pt>
                <c:pt idx="3">
                  <c:v>4Week</c:v>
                </c:pt>
                <c:pt idx="4">
                  <c:v>5Week</c:v>
                </c:pt>
                <c:pt idx="5">
                  <c:v>6Week</c:v>
                </c:pt>
                <c:pt idx="6">
                  <c:v>7Week</c:v>
                </c:pt>
                <c:pt idx="7">
                  <c:v>8Week</c:v>
                </c:pt>
                <c:pt idx="8">
                  <c:v>9Week</c:v>
                </c:pt>
                <c:pt idx="9">
                  <c:v>10Week</c:v>
                </c:pt>
                <c:pt idx="10">
                  <c:v>11Week</c:v>
                </c:pt>
                <c:pt idx="11">
                  <c:v>12Week</c:v>
                </c:pt>
                <c:pt idx="12">
                  <c:v>13Week</c:v>
                </c:pt>
                <c:pt idx="13">
                  <c:v>14Week</c:v>
                </c:pt>
                <c:pt idx="14">
                  <c:v>15Week</c:v>
                </c:pt>
                <c:pt idx="15">
                  <c:v>16Week</c:v>
                </c:pt>
                <c:pt idx="16">
                  <c:v>17Week</c:v>
                </c:pt>
                <c:pt idx="17">
                  <c:v>18Week</c:v>
                </c:pt>
                <c:pt idx="18">
                  <c:v>19Week</c:v>
                </c:pt>
                <c:pt idx="19">
                  <c:v>20Week</c:v>
                </c:pt>
                <c:pt idx="20">
                  <c:v>21Week</c:v>
                </c:pt>
              </c:strCache>
            </c:strRef>
          </c:cat>
          <c:val>
            <c:numRef>
              <c:f>サマリ!$D$24:$X$24</c:f>
              <c:numCache>
                <c:formatCode>0.0%</c:formatCode>
                <c:ptCount val="21"/>
                <c:pt idx="0">
                  <c:v>0.71035959971440554</c:v>
                </c:pt>
                <c:pt idx="1">
                  <c:v>0.70865787962601756</c:v>
                </c:pt>
                <c:pt idx="2">
                  <c:v>0.79590153781603568</c:v>
                </c:pt>
                <c:pt idx="3">
                  <c:v>0.7625438035282498</c:v>
                </c:pt>
                <c:pt idx="4">
                  <c:v>0.76250666850954918</c:v>
                </c:pt>
                <c:pt idx="5">
                  <c:v>0.83656403057114825</c:v>
                </c:pt>
                <c:pt idx="6">
                  <c:v>0.79193189356019422</c:v>
                </c:pt>
                <c:pt idx="7">
                  <c:v>0.75045091401734165</c:v>
                </c:pt>
                <c:pt idx="8">
                  <c:v>0.76113206583306092</c:v>
                </c:pt>
                <c:pt idx="9">
                  <c:v>0.79835956262702457</c:v>
                </c:pt>
                <c:pt idx="10">
                  <c:v>0.8565413533834586</c:v>
                </c:pt>
                <c:pt idx="11">
                  <c:v>0.82386057375576449</c:v>
                </c:pt>
                <c:pt idx="12">
                  <c:v>0.86084947999569161</c:v>
                </c:pt>
                <c:pt idx="13">
                  <c:v>0.8849938499384995</c:v>
                </c:pt>
                <c:pt idx="14">
                  <c:v>0.95350557026646621</c:v>
                </c:pt>
                <c:pt idx="15">
                  <c:v>0.99384181629321866</c:v>
                </c:pt>
                <c:pt idx="16">
                  <c:v>1.0267241379310346</c:v>
                </c:pt>
                <c:pt idx="17">
                  <c:v>1.0524478575791953</c:v>
                </c:pt>
                <c:pt idx="18">
                  <c:v>1.0735499650593989</c:v>
                </c:pt>
                <c:pt idx="19">
                  <c:v>1.0866741709238898</c:v>
                </c:pt>
                <c:pt idx="20">
                  <c:v>1.1363999852367654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B4-4B38-9173-B93958CD62BE}"/>
            </c:ext>
          </c:extLst>
        </c:ser>
        <c:ser>
          <c:idx val="4"/>
          <c:order val="1"/>
          <c:tx>
            <c:v>AFF_BvA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50800">
                <a:solidFill>
                  <a:srgbClr val="C00000"/>
                </a:solidFill>
              </a:ln>
              <a:effectLst/>
            </c:spPr>
          </c:marker>
          <c:dLbls>
            <c:dLbl>
              <c:idx val="18"/>
              <c:layout>
                <c:manualLayout>
                  <c:x val="-1.0813749094454948E-2"/>
                  <c:y val="0.1829904993732215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3A-4168-A764-7D0FFDFC47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1200" b="1" i="0" u="none" strike="noStrike" kern="1200" baseline="0">
                    <a:solidFill>
                      <a:schemeClr val="tx1"/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サマリ!$D$20:$X$20</c:f>
              <c:strCache>
                <c:ptCount val="21"/>
                <c:pt idx="0">
                  <c:v>1Week</c:v>
                </c:pt>
                <c:pt idx="1">
                  <c:v>2Week</c:v>
                </c:pt>
                <c:pt idx="2">
                  <c:v>3Week</c:v>
                </c:pt>
                <c:pt idx="3">
                  <c:v>4Week</c:v>
                </c:pt>
                <c:pt idx="4">
                  <c:v>5Week</c:v>
                </c:pt>
                <c:pt idx="5">
                  <c:v>6Week</c:v>
                </c:pt>
                <c:pt idx="6">
                  <c:v>7Week</c:v>
                </c:pt>
                <c:pt idx="7">
                  <c:v>8Week</c:v>
                </c:pt>
                <c:pt idx="8">
                  <c:v>9Week</c:v>
                </c:pt>
                <c:pt idx="9">
                  <c:v>10Week</c:v>
                </c:pt>
                <c:pt idx="10">
                  <c:v>11Week</c:v>
                </c:pt>
                <c:pt idx="11">
                  <c:v>12Week</c:v>
                </c:pt>
                <c:pt idx="12">
                  <c:v>13Week</c:v>
                </c:pt>
                <c:pt idx="13">
                  <c:v>14Week</c:v>
                </c:pt>
                <c:pt idx="14">
                  <c:v>15Week</c:v>
                </c:pt>
                <c:pt idx="15">
                  <c:v>16Week</c:v>
                </c:pt>
                <c:pt idx="16">
                  <c:v>17Week</c:v>
                </c:pt>
                <c:pt idx="17">
                  <c:v>18Week</c:v>
                </c:pt>
                <c:pt idx="18">
                  <c:v>19Week</c:v>
                </c:pt>
                <c:pt idx="19">
                  <c:v>20Week</c:v>
                </c:pt>
                <c:pt idx="20">
                  <c:v>21Week</c:v>
                </c:pt>
              </c:strCache>
            </c:strRef>
          </c:cat>
          <c:val>
            <c:numRef>
              <c:f>サマリ!$D$22:$X$22</c:f>
              <c:numCache>
                <c:formatCode>0.0%</c:formatCode>
                <c:ptCount val="21"/>
                <c:pt idx="0">
                  <c:v>0.64420115433392844</c:v>
                </c:pt>
                <c:pt idx="1">
                  <c:v>0.58772346147761423</c:v>
                </c:pt>
                <c:pt idx="2">
                  <c:v>0.72054271224395705</c:v>
                </c:pt>
                <c:pt idx="3">
                  <c:v>0.79209230057191971</c:v>
                </c:pt>
                <c:pt idx="4">
                  <c:v>0.72392971029242148</c:v>
                </c:pt>
                <c:pt idx="5">
                  <c:v>0.66025126971398018</c:v>
                </c:pt>
                <c:pt idx="6">
                  <c:v>0.75031210986267172</c:v>
                </c:pt>
                <c:pt idx="7">
                  <c:v>0.79000591182052959</c:v>
                </c:pt>
                <c:pt idx="8">
                  <c:v>0.75767371694221231</c:v>
                </c:pt>
                <c:pt idx="9">
                  <c:v>0.79466914613358131</c:v>
                </c:pt>
                <c:pt idx="10">
                  <c:v>0.90097016291414966</c:v>
                </c:pt>
                <c:pt idx="11">
                  <c:v>0.8202348690153568</c:v>
                </c:pt>
                <c:pt idx="12">
                  <c:v>0.83504523011496734</c:v>
                </c:pt>
                <c:pt idx="13">
                  <c:v>0.77083333333333337</c:v>
                </c:pt>
                <c:pt idx="14">
                  <c:v>0.91009432069034724</c:v>
                </c:pt>
                <c:pt idx="15">
                  <c:v>0.96256684491978606</c:v>
                </c:pt>
                <c:pt idx="16">
                  <c:v>0.89328932893289337</c:v>
                </c:pt>
                <c:pt idx="17">
                  <c:v>0.94913327649900525</c:v>
                </c:pt>
                <c:pt idx="18">
                  <c:v>1.0744077410744077</c:v>
                </c:pt>
                <c:pt idx="19">
                  <c:v>1.1447308346822738</c:v>
                </c:pt>
                <c:pt idx="20">
                  <c:v>1.1463910679450471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B4-4B38-9173-B93958CD62BE}"/>
            </c:ext>
          </c:extLst>
        </c:ser>
        <c:ser>
          <c:idx val="5"/>
          <c:order val="2"/>
          <c:tx>
            <c:v>SEM_BvA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50800">
                <a:solidFill>
                  <a:srgbClr val="00B050"/>
                </a:solidFill>
              </a:ln>
              <a:effectLst/>
            </c:spPr>
          </c:marker>
          <c:dLbls>
            <c:dLbl>
              <c:idx val="18"/>
              <c:layout>
                <c:manualLayout>
                  <c:x val="-1.5859982122667058E-16"/>
                  <c:y val="-8.962799969300647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ja-JP" sz="1200" b="1" i="0" u="none" strike="noStrike" kern="1200" baseline="0">
                      <a:solidFill>
                        <a:schemeClr val="tx1"/>
                      </a:solidFill>
                      <a:latin typeface="Rakuten Sans JP" panose="020B0400000000000000" pitchFamily="34" charset="-128"/>
                      <a:ea typeface="Rakuten Sans JP" panose="020B0400000000000000" pitchFamily="34" charset="-128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43A-4168-A764-7D0FFDFC47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/>
                    </a:solidFill>
                    <a:latin typeface="Rakuten Sans JP" panose="020B0400000000000000" pitchFamily="34" charset="-128"/>
                    <a:ea typeface="Rakuten Sans JP" panose="020B0400000000000000" pitchFamily="34" charset="-128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サマリ!$D$20:$X$20</c:f>
              <c:strCache>
                <c:ptCount val="21"/>
                <c:pt idx="0">
                  <c:v>1Week</c:v>
                </c:pt>
                <c:pt idx="1">
                  <c:v>2Week</c:v>
                </c:pt>
                <c:pt idx="2">
                  <c:v>3Week</c:v>
                </c:pt>
                <c:pt idx="3">
                  <c:v>4Week</c:v>
                </c:pt>
                <c:pt idx="4">
                  <c:v>5Week</c:v>
                </c:pt>
                <c:pt idx="5">
                  <c:v>6Week</c:v>
                </c:pt>
                <c:pt idx="6">
                  <c:v>7Week</c:v>
                </c:pt>
                <c:pt idx="7">
                  <c:v>8Week</c:v>
                </c:pt>
                <c:pt idx="8">
                  <c:v>9Week</c:v>
                </c:pt>
                <c:pt idx="9">
                  <c:v>10Week</c:v>
                </c:pt>
                <c:pt idx="10">
                  <c:v>11Week</c:v>
                </c:pt>
                <c:pt idx="11">
                  <c:v>12Week</c:v>
                </c:pt>
                <c:pt idx="12">
                  <c:v>13Week</c:v>
                </c:pt>
                <c:pt idx="13">
                  <c:v>14Week</c:v>
                </c:pt>
                <c:pt idx="14">
                  <c:v>15Week</c:v>
                </c:pt>
                <c:pt idx="15">
                  <c:v>16Week</c:v>
                </c:pt>
                <c:pt idx="16">
                  <c:v>17Week</c:v>
                </c:pt>
                <c:pt idx="17">
                  <c:v>18Week</c:v>
                </c:pt>
                <c:pt idx="18">
                  <c:v>19Week</c:v>
                </c:pt>
                <c:pt idx="19">
                  <c:v>20Week</c:v>
                </c:pt>
                <c:pt idx="20">
                  <c:v>21Week</c:v>
                </c:pt>
              </c:strCache>
            </c:strRef>
          </c:cat>
          <c:val>
            <c:numRef>
              <c:f>サマリ!$D$23:$X$23</c:f>
              <c:numCache>
                <c:formatCode>0.0%</c:formatCode>
                <c:ptCount val="21"/>
                <c:pt idx="0">
                  <c:v>0.76088709677419353</c:v>
                </c:pt>
                <c:pt idx="1">
                  <c:v>0.80939499767850287</c:v>
                </c:pt>
                <c:pt idx="2">
                  <c:v>0.80584933687946436</c:v>
                </c:pt>
                <c:pt idx="3">
                  <c:v>0.74054658508963744</c:v>
                </c:pt>
                <c:pt idx="4">
                  <c:v>0.78726291133455228</c:v>
                </c:pt>
                <c:pt idx="5">
                  <c:v>0.93849634974170693</c:v>
                </c:pt>
                <c:pt idx="6">
                  <c:v>0.80975630950277466</c:v>
                </c:pt>
                <c:pt idx="7">
                  <c:v>0.72382937216167897</c:v>
                </c:pt>
                <c:pt idx="8">
                  <c:v>0.73082042145699799</c:v>
                </c:pt>
                <c:pt idx="9">
                  <c:v>0.77344877081869867</c:v>
                </c:pt>
                <c:pt idx="10">
                  <c:v>0.83390073463536996</c:v>
                </c:pt>
                <c:pt idx="11">
                  <c:v>0.82512094606701303</c:v>
                </c:pt>
                <c:pt idx="12">
                  <c:v>0.87367855223078295</c:v>
                </c:pt>
                <c:pt idx="13">
                  <c:v>0.94289951798294402</c:v>
                </c:pt>
                <c:pt idx="14">
                  <c:v>0.97756766777901383</c:v>
                </c:pt>
                <c:pt idx="15">
                  <c:v>1.0094549499443828</c:v>
                </c:pt>
                <c:pt idx="16">
                  <c:v>1.0941961802336362</c:v>
                </c:pt>
                <c:pt idx="17">
                  <c:v>1.0982367758186398</c:v>
                </c:pt>
                <c:pt idx="18">
                  <c:v>1.0731837606837606</c:v>
                </c:pt>
                <c:pt idx="19">
                  <c:v>1.0620264317180617</c:v>
                </c:pt>
                <c:pt idx="20">
                  <c:v>1.1321909424724603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B4-4B38-9173-B93958CD6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9184960"/>
        <c:axId val="259179200"/>
      </c:lineChart>
      <c:catAx>
        <c:axId val="25918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59179200"/>
        <c:crosses val="autoZero"/>
        <c:auto val="1"/>
        <c:lblAlgn val="ctr"/>
        <c:lblOffset val="100"/>
        <c:noMultiLvlLbl val="0"/>
      </c:catAx>
      <c:valAx>
        <c:axId val="25917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ja-JP" sz="1000" b="0" i="0" u="none" strike="noStrike" kern="1200" baseline="0">
                <a:solidFill>
                  <a:schemeClr val="tx1"/>
                </a:solidFill>
                <a:latin typeface="Rakuten Sans JP" panose="020B0400000000000000" pitchFamily="34" charset="-128"/>
                <a:ea typeface="Rakuten Sans JP" panose="020B0400000000000000" pitchFamily="34" charset="-128"/>
                <a:cs typeface="+mn-cs"/>
              </a:defRPr>
            </a:pPr>
            <a:endParaRPr lang="en-US"/>
          </a:p>
        </c:txPr>
        <c:crossAx val="25918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/>
              </a:solidFill>
              <a:latin typeface="Rakuten Sans JP" panose="020B0400000000000000" pitchFamily="34" charset="-128"/>
              <a:ea typeface="Rakuten Sans JP" panose="020B0400000000000000" pitchFamily="34" charset="-128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Rakuten Sans JP" panose="020B0400000000000000" pitchFamily="34" charset="-128"/>
          <a:ea typeface="Rakuten Sans JP" panose="020B0400000000000000" pitchFamily="34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508364</xdr:colOff>
      <xdr:row>1</xdr:row>
      <xdr:rowOff>168275</xdr:rowOff>
    </xdr:from>
    <xdr:to>
      <xdr:col>29</xdr:col>
      <xdr:colOff>932000</xdr:colOff>
      <xdr:row>25</xdr:row>
      <xdr:rowOff>1905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46266</xdr:colOff>
      <xdr:row>1</xdr:row>
      <xdr:rowOff>172085</xdr:rowOff>
    </xdr:from>
    <xdr:to>
      <xdr:col>43</xdr:col>
      <xdr:colOff>345985</xdr:colOff>
      <xdr:row>25</xdr:row>
      <xdr:rowOff>1905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00000000-0008-0000-0400-000006000000}"/>
            </a:ext>
            <a:ext uri="{147F2762-F138-4A5C-976F-8EAC2B608ADB}">
              <a16:predDERef xmlns:a16="http://schemas.microsoft.com/office/drawing/2014/main" pre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444500</xdr:colOff>
      <xdr:row>25</xdr:row>
      <xdr:rowOff>254000</xdr:rowOff>
    </xdr:from>
    <xdr:to>
      <xdr:col>27</xdr:col>
      <xdr:colOff>521970</xdr:colOff>
      <xdr:row>46</xdr:row>
      <xdr:rowOff>99060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00000000-0008-0000-0400-000007000000}"/>
            </a:ext>
            <a:ext uri="{147F2762-F138-4A5C-976F-8EAC2B608ADB}">
              <a16:predDERef xmlns:a16="http://schemas.microsoft.com/office/drawing/2014/main" pred="{00000000-0008-0000-04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63500</xdr:colOff>
      <xdr:row>25</xdr:row>
      <xdr:rowOff>241300</xdr:rowOff>
    </xdr:from>
    <xdr:to>
      <xdr:col>40</xdr:col>
      <xdr:colOff>551815</xdr:colOff>
      <xdr:row>46</xdr:row>
      <xdr:rowOff>84455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00000000-0008-0000-0400-000008000000}"/>
            </a:ext>
            <a:ext uri="{147F2762-F138-4A5C-976F-8EAC2B608ADB}">
              <a16:predDERef xmlns:a16="http://schemas.microsoft.com/office/drawing/2014/main" pre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457200</xdr:colOff>
      <xdr:row>47</xdr:row>
      <xdr:rowOff>50800</xdr:rowOff>
    </xdr:from>
    <xdr:to>
      <xdr:col>27</xdr:col>
      <xdr:colOff>534670</xdr:colOff>
      <xdr:row>74</xdr:row>
      <xdr:rowOff>187960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00000000-0008-0000-0400-000009000000}"/>
            </a:ext>
            <a:ext uri="{147F2762-F138-4A5C-976F-8EAC2B608ADB}">
              <a16:predDERef xmlns:a16="http://schemas.microsoft.com/office/drawing/2014/main" pred="{00000000-0008-0000-04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76200</xdr:colOff>
      <xdr:row>47</xdr:row>
      <xdr:rowOff>38100</xdr:rowOff>
    </xdr:from>
    <xdr:to>
      <xdr:col>40</xdr:col>
      <xdr:colOff>564515</xdr:colOff>
      <xdr:row>74</xdr:row>
      <xdr:rowOff>173355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00000000-0008-0000-0400-00000A000000}"/>
            </a:ext>
            <a:ext uri="{147F2762-F138-4A5C-976F-8EAC2B608ADB}">
              <a16:predDERef xmlns:a16="http://schemas.microsoft.com/office/drawing/2014/main" pred="{00000000-0008-0000-04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95250</xdr:colOff>
      <xdr:row>3</xdr:row>
      <xdr:rowOff>21227</xdr:rowOff>
    </xdr:from>
    <xdr:to>
      <xdr:col>19</xdr:col>
      <xdr:colOff>186690</xdr:colOff>
      <xdr:row>25</xdr:row>
      <xdr:rowOff>21475</xdr:rowOff>
    </xdr:to>
    <xdr:graphicFrame macro="">
      <xdr:nvGraphicFramePr>
        <xdr:cNvPr id="20" name="グラフ 1">
          <a:extLst>
            <a:ext uri="{FF2B5EF4-FFF2-40B4-BE49-F238E27FC236}">
              <a16:creationId xmlns:a16="http://schemas.microsoft.com/office/drawing/2014/main" id="{032A36F2-3021-4A8B-AEC3-A7A0F8E2DBD2}"/>
            </a:ext>
            <a:ext uri="{147F2762-F138-4A5C-976F-8EAC2B608ADB}">
              <a16:predDERef xmlns:a16="http://schemas.microsoft.com/office/drawing/2014/main" pred="{00000000-0008-0000-04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607218</xdr:colOff>
      <xdr:row>6</xdr:row>
      <xdr:rowOff>207508</xdr:rowOff>
    </xdr:from>
    <xdr:to>
      <xdr:col>43</xdr:col>
      <xdr:colOff>317181</xdr:colOff>
      <xdr:row>17</xdr:row>
      <xdr:rowOff>57966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337457</xdr:colOff>
      <xdr:row>26</xdr:row>
      <xdr:rowOff>27215</xdr:rowOff>
    </xdr:from>
    <xdr:to>
      <xdr:col>12</xdr:col>
      <xdr:colOff>250372</xdr:colOff>
      <xdr:row>36</xdr:row>
      <xdr:rowOff>48987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E1CE6A0-DAFF-4AE0-AC5B-5F56BD887525}"/>
            </a:ext>
            <a:ext uri="{147F2762-F138-4A5C-976F-8EAC2B608ADB}">
              <a16:predDERef xmlns:a16="http://schemas.microsoft.com/office/drawing/2014/main" pre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102364</xdr:colOff>
      <xdr:row>43</xdr:row>
      <xdr:rowOff>0</xdr:rowOff>
    </xdr:from>
    <xdr:to>
      <xdr:col>19</xdr:col>
      <xdr:colOff>234035</xdr:colOff>
      <xdr:row>55</xdr:row>
      <xdr:rowOff>135009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F1CC2748-545F-4005-97CF-BE59FC5053CF}"/>
            </a:ext>
            <a:ext uri="{147F2762-F138-4A5C-976F-8EAC2B608ADB}">
              <a16:predDERef xmlns:a16="http://schemas.microsoft.com/office/drawing/2014/main" pred="{4E1CE6A0-DAFF-4AE0-AC5B-5F56BD887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26981</xdr:colOff>
      <xdr:row>56</xdr:row>
      <xdr:rowOff>58239</xdr:rowOff>
    </xdr:from>
    <xdr:to>
      <xdr:col>19</xdr:col>
      <xdr:colOff>370136</xdr:colOff>
      <xdr:row>68</xdr:row>
      <xdr:rowOff>187532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00000000-0008-0000-0600-000002000000}"/>
            </a:ext>
            <a:ext uri="{147F2762-F138-4A5C-976F-8EAC2B608ADB}">
              <a16:predDERef xmlns:a16="http://schemas.microsoft.com/office/drawing/2014/main" pred="{F1CC2748-545F-4005-97CF-BE59FC505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217593</xdr:colOff>
      <xdr:row>3</xdr:row>
      <xdr:rowOff>47803</xdr:rowOff>
    </xdr:from>
    <xdr:to>
      <xdr:col>16</xdr:col>
      <xdr:colOff>401200</xdr:colOff>
      <xdr:row>20</xdr:row>
      <xdr:rowOff>191797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73B21C5-F5A5-41C2-BFD9-F4D5AC0C76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7593" y="860603"/>
          <a:ext cx="9547740" cy="47498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1"/>
  <sheetViews>
    <sheetView workbookViewId="0"/>
  </sheetViews>
  <sheetFormatPr defaultRowHeight="13.2" x14ac:dyDescent="0.2"/>
  <cols>
    <col min="1" max="1" width="5" customWidth="1"/>
    <col min="2" max="2" width="9" customWidth="1"/>
    <col min="3" max="3" width="12" customWidth="1"/>
    <col min="4" max="4" width="8" customWidth="1"/>
    <col min="5" max="5" width="11" customWidth="1"/>
    <col min="6" max="6" width="7" customWidth="1"/>
    <col min="7" max="8" width="20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 t="s">
        <v>9</v>
      </c>
      <c r="C2" t="s">
        <v>10</v>
      </c>
      <c r="D2" t="s">
        <v>11</v>
      </c>
      <c r="E2" t="s">
        <v>12</v>
      </c>
      <c r="F2">
        <v>1443</v>
      </c>
      <c r="G2">
        <v>3378400</v>
      </c>
      <c r="H2">
        <v>2341.233541233541</v>
      </c>
    </row>
    <row r="3" spans="1:8" x14ac:dyDescent="0.2">
      <c r="A3" t="s">
        <v>8</v>
      </c>
      <c r="B3" t="s">
        <v>9</v>
      </c>
      <c r="C3" t="s">
        <v>13</v>
      </c>
      <c r="D3" t="s">
        <v>11</v>
      </c>
      <c r="E3" t="s">
        <v>12</v>
      </c>
      <c r="F3">
        <v>1153</v>
      </c>
      <c r="G3">
        <v>3121700</v>
      </c>
      <c r="H3">
        <v>2707.4588031222902</v>
      </c>
    </row>
    <row r="4" spans="1:8" x14ac:dyDescent="0.2">
      <c r="A4" t="s">
        <v>8</v>
      </c>
      <c r="B4" t="s">
        <v>9</v>
      </c>
      <c r="C4" t="s">
        <v>14</v>
      </c>
      <c r="D4" t="s">
        <v>11</v>
      </c>
      <c r="E4" t="s">
        <v>12</v>
      </c>
      <c r="F4">
        <v>1489</v>
      </c>
      <c r="G4">
        <v>3185000</v>
      </c>
      <c r="H4">
        <v>2139.0194761584962</v>
      </c>
    </row>
    <row r="5" spans="1:8" x14ac:dyDescent="0.2">
      <c r="A5" t="s">
        <v>8</v>
      </c>
      <c r="B5" t="s">
        <v>9</v>
      </c>
      <c r="C5" t="s">
        <v>15</v>
      </c>
      <c r="D5" t="s">
        <v>11</v>
      </c>
      <c r="E5" t="s">
        <v>12</v>
      </c>
      <c r="F5">
        <v>1437</v>
      </c>
      <c r="G5">
        <v>3623488.4937238488</v>
      </c>
      <c r="H5">
        <v>2521.5647137953019</v>
      </c>
    </row>
    <row r="6" spans="1:8" x14ac:dyDescent="0.2">
      <c r="A6" t="s">
        <v>8</v>
      </c>
      <c r="B6" t="s">
        <v>9</v>
      </c>
      <c r="C6" t="s">
        <v>16</v>
      </c>
      <c r="D6" t="s">
        <v>11</v>
      </c>
      <c r="E6" t="s">
        <v>12</v>
      </c>
      <c r="F6">
        <v>2380</v>
      </c>
      <c r="G6">
        <v>5640100</v>
      </c>
      <c r="H6">
        <v>2369.7899159663871</v>
      </c>
    </row>
    <row r="7" spans="1:8" x14ac:dyDescent="0.2">
      <c r="A7" t="s">
        <v>8</v>
      </c>
      <c r="B7" t="s">
        <v>9</v>
      </c>
      <c r="C7" t="s">
        <v>17</v>
      </c>
      <c r="D7" t="s">
        <v>11</v>
      </c>
      <c r="E7" t="s">
        <v>12</v>
      </c>
      <c r="F7">
        <v>4502</v>
      </c>
      <c r="G7">
        <v>10952219.83842011</v>
      </c>
      <c r="H7">
        <v>2432.745410577545</v>
      </c>
    </row>
    <row r="8" spans="1:8" x14ac:dyDescent="0.2">
      <c r="A8" t="s">
        <v>8</v>
      </c>
      <c r="B8" t="s">
        <v>9</v>
      </c>
      <c r="C8" t="s">
        <v>18</v>
      </c>
      <c r="D8" t="s">
        <v>11</v>
      </c>
      <c r="E8" t="s">
        <v>12</v>
      </c>
      <c r="F8">
        <v>1485</v>
      </c>
      <c r="G8">
        <v>6046900</v>
      </c>
      <c r="H8">
        <v>4071.9865319865321</v>
      </c>
    </row>
    <row r="9" spans="1:8" x14ac:dyDescent="0.2">
      <c r="A9" t="s">
        <v>8</v>
      </c>
      <c r="B9" t="s">
        <v>9</v>
      </c>
      <c r="C9" t="s">
        <v>19</v>
      </c>
      <c r="D9" t="s">
        <v>20</v>
      </c>
      <c r="E9" t="s">
        <v>21</v>
      </c>
      <c r="F9">
        <v>164</v>
      </c>
      <c r="G9">
        <v>1981300</v>
      </c>
      <c r="H9">
        <v>12081.09756097561</v>
      </c>
    </row>
    <row r="10" spans="1:8" x14ac:dyDescent="0.2">
      <c r="A10" t="s">
        <v>8</v>
      </c>
      <c r="B10" t="s">
        <v>9</v>
      </c>
      <c r="C10" t="s">
        <v>22</v>
      </c>
      <c r="D10" t="s">
        <v>20</v>
      </c>
      <c r="E10" t="s">
        <v>21</v>
      </c>
      <c r="F10">
        <v>183</v>
      </c>
      <c r="G10">
        <v>1954800</v>
      </c>
      <c r="H10">
        <v>10681.967213114751</v>
      </c>
    </row>
    <row r="11" spans="1:8" x14ac:dyDescent="0.2">
      <c r="A11" t="s">
        <v>8</v>
      </c>
      <c r="B11" t="s">
        <v>9</v>
      </c>
      <c r="C11" t="s">
        <v>23</v>
      </c>
      <c r="D11" t="s">
        <v>20</v>
      </c>
      <c r="E11" t="s">
        <v>21</v>
      </c>
      <c r="F11">
        <v>185</v>
      </c>
      <c r="G11">
        <v>1934300</v>
      </c>
      <c r="H11">
        <v>10455.675675675669</v>
      </c>
    </row>
    <row r="12" spans="1:8" x14ac:dyDescent="0.2">
      <c r="A12" t="s">
        <v>8</v>
      </c>
      <c r="B12" t="s">
        <v>9</v>
      </c>
      <c r="C12" t="s">
        <v>24</v>
      </c>
      <c r="D12" t="s">
        <v>20</v>
      </c>
      <c r="E12" t="s">
        <v>21</v>
      </c>
      <c r="F12">
        <v>146</v>
      </c>
      <c r="G12">
        <v>1835113.3903133899</v>
      </c>
      <c r="H12">
        <v>12569.26979666706</v>
      </c>
    </row>
    <row r="13" spans="1:8" x14ac:dyDescent="0.2">
      <c r="A13" t="s">
        <v>8</v>
      </c>
      <c r="B13" t="s">
        <v>9</v>
      </c>
      <c r="C13" t="s">
        <v>25</v>
      </c>
      <c r="D13" t="s">
        <v>20</v>
      </c>
      <c r="E13" t="s">
        <v>21</v>
      </c>
      <c r="F13">
        <v>220</v>
      </c>
      <c r="G13">
        <v>2619890.9512761021</v>
      </c>
      <c r="H13">
        <v>11908.595233073191</v>
      </c>
    </row>
    <row r="14" spans="1:8" x14ac:dyDescent="0.2">
      <c r="A14" t="s">
        <v>8</v>
      </c>
      <c r="B14" t="s">
        <v>9</v>
      </c>
      <c r="C14" t="s">
        <v>26</v>
      </c>
      <c r="D14" t="s">
        <v>20</v>
      </c>
      <c r="E14" t="s">
        <v>21</v>
      </c>
      <c r="F14">
        <v>241</v>
      </c>
      <c r="G14">
        <v>3107311.2554112561</v>
      </c>
      <c r="H14">
        <v>12893.40769880189</v>
      </c>
    </row>
    <row r="15" spans="1:8" x14ac:dyDescent="0.2">
      <c r="A15" t="s">
        <v>8</v>
      </c>
      <c r="B15" t="s">
        <v>9</v>
      </c>
      <c r="C15" t="s">
        <v>27</v>
      </c>
      <c r="D15" t="s">
        <v>20</v>
      </c>
      <c r="E15" t="s">
        <v>21</v>
      </c>
      <c r="F15">
        <v>172</v>
      </c>
      <c r="G15">
        <v>2100972.8723404249</v>
      </c>
      <c r="H15">
        <v>12214.95856011875</v>
      </c>
    </row>
    <row r="16" spans="1:8" x14ac:dyDescent="0.2">
      <c r="A16" t="s">
        <v>8</v>
      </c>
      <c r="B16" t="s">
        <v>9</v>
      </c>
      <c r="C16" t="s">
        <v>28</v>
      </c>
      <c r="D16" t="s">
        <v>29</v>
      </c>
      <c r="E16" t="s">
        <v>30</v>
      </c>
      <c r="F16">
        <v>172</v>
      </c>
      <c r="G16">
        <v>2011479.473684211</v>
      </c>
      <c r="H16">
        <v>11694.648102815179</v>
      </c>
    </row>
    <row r="17" spans="1:8" x14ac:dyDescent="0.2">
      <c r="A17" t="s">
        <v>8</v>
      </c>
      <c r="B17" t="s">
        <v>9</v>
      </c>
      <c r="C17" t="s">
        <v>31</v>
      </c>
      <c r="D17" t="s">
        <v>29</v>
      </c>
      <c r="E17" t="s">
        <v>30</v>
      </c>
      <c r="F17">
        <v>158</v>
      </c>
      <c r="G17">
        <v>1814982.456140351</v>
      </c>
      <c r="H17">
        <v>11487.23073506551</v>
      </c>
    </row>
    <row r="18" spans="1:8" x14ac:dyDescent="0.2">
      <c r="A18" t="s">
        <v>8</v>
      </c>
      <c r="B18" t="s">
        <v>9</v>
      </c>
      <c r="C18" t="s">
        <v>32</v>
      </c>
      <c r="D18" t="s">
        <v>29</v>
      </c>
      <c r="E18" t="s">
        <v>30</v>
      </c>
      <c r="F18">
        <v>143</v>
      </c>
      <c r="G18">
        <v>1814800</v>
      </c>
      <c r="H18">
        <v>12690.90909090909</v>
      </c>
    </row>
    <row r="19" spans="1:8" x14ac:dyDescent="0.2">
      <c r="A19" t="s">
        <v>8</v>
      </c>
      <c r="B19" t="s">
        <v>9</v>
      </c>
      <c r="C19" t="s">
        <v>33</v>
      </c>
      <c r="D19" t="s">
        <v>29</v>
      </c>
      <c r="E19" t="s">
        <v>30</v>
      </c>
      <c r="F19">
        <v>130</v>
      </c>
      <c r="G19">
        <v>1521380.573248408</v>
      </c>
      <c r="H19">
        <v>11702.92748652621</v>
      </c>
    </row>
    <row r="20" spans="1:8" x14ac:dyDescent="0.2">
      <c r="A20" t="s">
        <v>8</v>
      </c>
      <c r="B20" t="s">
        <v>9</v>
      </c>
      <c r="C20" t="s">
        <v>34</v>
      </c>
      <c r="D20" t="s">
        <v>29</v>
      </c>
      <c r="E20" t="s">
        <v>30</v>
      </c>
      <c r="F20">
        <v>190</v>
      </c>
      <c r="G20">
        <v>2127270.8683473389</v>
      </c>
      <c r="H20">
        <v>11196.16246498599</v>
      </c>
    </row>
    <row r="21" spans="1:8" x14ac:dyDescent="0.2">
      <c r="A21" t="s">
        <v>8</v>
      </c>
      <c r="B21" t="s">
        <v>9</v>
      </c>
      <c r="C21" t="s">
        <v>35</v>
      </c>
      <c r="D21" t="s">
        <v>29</v>
      </c>
      <c r="E21" t="s">
        <v>30</v>
      </c>
      <c r="F21">
        <v>255</v>
      </c>
      <c r="G21">
        <v>3179121.0526315789</v>
      </c>
      <c r="H21">
        <v>12467.14138286894</v>
      </c>
    </row>
    <row r="22" spans="1:8" x14ac:dyDescent="0.2">
      <c r="A22" t="s">
        <v>8</v>
      </c>
      <c r="B22" t="s">
        <v>9</v>
      </c>
      <c r="C22" t="s">
        <v>36</v>
      </c>
      <c r="D22" t="s">
        <v>29</v>
      </c>
      <c r="E22" t="s">
        <v>30</v>
      </c>
      <c r="F22">
        <v>154</v>
      </c>
      <c r="G22">
        <v>1667000</v>
      </c>
      <c r="H22">
        <v>10824.675324675331</v>
      </c>
    </row>
    <row r="23" spans="1:8" x14ac:dyDescent="0.2">
      <c r="A23" t="s">
        <v>8</v>
      </c>
      <c r="B23" t="s">
        <v>9</v>
      </c>
      <c r="C23" t="s">
        <v>37</v>
      </c>
      <c r="D23" t="s">
        <v>38</v>
      </c>
      <c r="E23" t="s">
        <v>39</v>
      </c>
      <c r="F23">
        <v>156</v>
      </c>
      <c r="G23">
        <v>1950900</v>
      </c>
      <c r="H23">
        <v>12505.76923076923</v>
      </c>
    </row>
    <row r="24" spans="1:8" x14ac:dyDescent="0.2">
      <c r="A24" t="s">
        <v>8</v>
      </c>
      <c r="B24" t="s">
        <v>9</v>
      </c>
      <c r="C24" t="s">
        <v>40</v>
      </c>
      <c r="D24" t="s">
        <v>38</v>
      </c>
      <c r="E24" t="s">
        <v>39</v>
      </c>
      <c r="F24">
        <v>153</v>
      </c>
      <c r="G24">
        <v>1702000</v>
      </c>
      <c r="H24">
        <v>11124.18300653595</v>
      </c>
    </row>
    <row r="25" spans="1:8" x14ac:dyDescent="0.2">
      <c r="A25" t="s">
        <v>8</v>
      </c>
      <c r="B25" t="s">
        <v>9</v>
      </c>
      <c r="C25" t="s">
        <v>41</v>
      </c>
      <c r="D25" t="s">
        <v>38</v>
      </c>
      <c r="E25" t="s">
        <v>39</v>
      </c>
      <c r="F25">
        <v>135</v>
      </c>
      <c r="G25">
        <v>1703100</v>
      </c>
      <c r="H25">
        <v>12615.555555555549</v>
      </c>
    </row>
    <row r="26" spans="1:8" x14ac:dyDescent="0.2">
      <c r="A26" t="s">
        <v>8</v>
      </c>
      <c r="B26" t="s">
        <v>9</v>
      </c>
      <c r="C26" t="s">
        <v>42</v>
      </c>
      <c r="D26" t="s">
        <v>38</v>
      </c>
      <c r="E26" t="s">
        <v>39</v>
      </c>
      <c r="F26">
        <v>148</v>
      </c>
      <c r="G26">
        <v>1637000</v>
      </c>
      <c r="H26">
        <v>11060.81081081081</v>
      </c>
    </row>
    <row r="27" spans="1:8" x14ac:dyDescent="0.2">
      <c r="A27" t="s">
        <v>8</v>
      </c>
      <c r="B27" t="s">
        <v>9</v>
      </c>
      <c r="C27" t="s">
        <v>43</v>
      </c>
      <c r="D27" t="s">
        <v>38</v>
      </c>
      <c r="E27" t="s">
        <v>39</v>
      </c>
      <c r="F27">
        <v>201</v>
      </c>
      <c r="G27">
        <v>2310700</v>
      </c>
      <c r="H27">
        <v>11496.019900497509</v>
      </c>
    </row>
    <row r="28" spans="1:8" x14ac:dyDescent="0.2">
      <c r="A28" t="s">
        <v>8</v>
      </c>
      <c r="B28" t="s">
        <v>9</v>
      </c>
      <c r="C28" t="s">
        <v>44</v>
      </c>
      <c r="D28" t="s">
        <v>38</v>
      </c>
      <c r="E28" t="s">
        <v>39</v>
      </c>
      <c r="F28">
        <v>303</v>
      </c>
      <c r="G28">
        <v>3155650</v>
      </c>
      <c r="H28">
        <v>10414.686468646871</v>
      </c>
    </row>
    <row r="29" spans="1:8" x14ac:dyDescent="0.2">
      <c r="A29" t="s">
        <v>8</v>
      </c>
      <c r="B29" t="s">
        <v>9</v>
      </c>
      <c r="C29" t="s">
        <v>45</v>
      </c>
      <c r="D29" t="s">
        <v>38</v>
      </c>
      <c r="E29" t="s">
        <v>39</v>
      </c>
      <c r="F29">
        <v>135</v>
      </c>
      <c r="G29">
        <v>1646600</v>
      </c>
      <c r="H29">
        <v>12197.03703703704</v>
      </c>
    </row>
    <row r="30" spans="1:8" x14ac:dyDescent="0.2">
      <c r="A30" t="s">
        <v>8</v>
      </c>
      <c r="B30" t="s">
        <v>9</v>
      </c>
      <c r="C30" t="s">
        <v>46</v>
      </c>
      <c r="D30" t="s">
        <v>47</v>
      </c>
      <c r="E30" t="s">
        <v>48</v>
      </c>
      <c r="F30">
        <v>214</v>
      </c>
      <c r="G30">
        <v>2057957.788944724</v>
      </c>
      <c r="H30">
        <v>9616.6251819846893</v>
      </c>
    </row>
    <row r="31" spans="1:8" x14ac:dyDescent="0.2">
      <c r="A31" t="s">
        <v>8</v>
      </c>
      <c r="B31" t="s">
        <v>9</v>
      </c>
      <c r="C31" t="s">
        <v>49</v>
      </c>
      <c r="D31" t="s">
        <v>47</v>
      </c>
      <c r="E31" t="s">
        <v>48</v>
      </c>
      <c r="F31">
        <v>157</v>
      </c>
      <c r="G31">
        <v>1805400</v>
      </c>
      <c r="H31">
        <v>11499.363057324839</v>
      </c>
    </row>
    <row r="32" spans="1:8" x14ac:dyDescent="0.2">
      <c r="A32" t="s">
        <v>8</v>
      </c>
      <c r="B32" t="s">
        <v>9</v>
      </c>
      <c r="C32" t="s">
        <v>50</v>
      </c>
      <c r="D32" t="s">
        <v>47</v>
      </c>
      <c r="E32" t="s">
        <v>48</v>
      </c>
      <c r="F32">
        <v>173</v>
      </c>
      <c r="G32">
        <v>2264000</v>
      </c>
      <c r="H32">
        <v>13086.70520231214</v>
      </c>
    </row>
    <row r="33" spans="1:8" x14ac:dyDescent="0.2">
      <c r="A33" t="s">
        <v>8</v>
      </c>
      <c r="B33" t="s">
        <v>9</v>
      </c>
      <c r="C33" t="s">
        <v>51</v>
      </c>
      <c r="D33" t="s">
        <v>47</v>
      </c>
      <c r="E33" t="s">
        <v>48</v>
      </c>
      <c r="F33">
        <v>199</v>
      </c>
      <c r="G33">
        <v>2040750</v>
      </c>
      <c r="H33">
        <v>10255.025125628141</v>
      </c>
    </row>
    <row r="34" spans="1:8" x14ac:dyDescent="0.2">
      <c r="A34" t="s">
        <v>8</v>
      </c>
      <c r="B34" t="s">
        <v>9</v>
      </c>
      <c r="C34" t="s">
        <v>52</v>
      </c>
      <c r="D34" t="s">
        <v>47</v>
      </c>
      <c r="E34" t="s">
        <v>48</v>
      </c>
      <c r="F34">
        <v>223</v>
      </c>
      <c r="G34">
        <v>2386600</v>
      </c>
      <c r="H34">
        <v>10702.24215246637</v>
      </c>
    </row>
    <row r="35" spans="1:8" x14ac:dyDescent="0.2">
      <c r="A35" t="s">
        <v>8</v>
      </c>
      <c r="B35" t="s">
        <v>9</v>
      </c>
      <c r="C35" t="s">
        <v>53</v>
      </c>
      <c r="D35" t="s">
        <v>47</v>
      </c>
      <c r="E35" t="s">
        <v>48</v>
      </c>
      <c r="F35">
        <v>211</v>
      </c>
      <c r="G35">
        <v>2513186</v>
      </c>
      <c r="H35">
        <v>11910.83412322275</v>
      </c>
    </row>
    <row r="36" spans="1:8" x14ac:dyDescent="0.2">
      <c r="A36" t="s">
        <v>8</v>
      </c>
      <c r="B36" t="s">
        <v>9</v>
      </c>
      <c r="C36" t="s">
        <v>54</v>
      </c>
      <c r="D36" t="s">
        <v>47</v>
      </c>
      <c r="E36" t="s">
        <v>48</v>
      </c>
      <c r="F36">
        <v>259</v>
      </c>
      <c r="G36">
        <v>2598046.7661691541</v>
      </c>
      <c r="H36">
        <v>10031.0685952477</v>
      </c>
    </row>
    <row r="37" spans="1:8" x14ac:dyDescent="0.2">
      <c r="A37" t="s">
        <v>8</v>
      </c>
      <c r="B37" t="s">
        <v>9</v>
      </c>
      <c r="C37" t="s">
        <v>55</v>
      </c>
      <c r="D37" t="s">
        <v>56</v>
      </c>
      <c r="E37" t="s">
        <v>57</v>
      </c>
      <c r="F37">
        <v>320</v>
      </c>
      <c r="G37">
        <v>3468500</v>
      </c>
      <c r="H37">
        <v>10839.0625</v>
      </c>
    </row>
    <row r="38" spans="1:8" x14ac:dyDescent="0.2">
      <c r="A38" t="s">
        <v>8</v>
      </c>
      <c r="B38" t="s">
        <v>9</v>
      </c>
      <c r="C38" t="s">
        <v>58</v>
      </c>
      <c r="D38" t="s">
        <v>56</v>
      </c>
      <c r="E38" t="s">
        <v>57</v>
      </c>
      <c r="F38">
        <v>195</v>
      </c>
      <c r="G38">
        <v>1962400</v>
      </c>
      <c r="H38">
        <v>10063.58974358974</v>
      </c>
    </row>
    <row r="39" spans="1:8" x14ac:dyDescent="0.2">
      <c r="A39" t="s">
        <v>8</v>
      </c>
      <c r="B39" t="s">
        <v>9</v>
      </c>
      <c r="C39" t="s">
        <v>59</v>
      </c>
      <c r="D39" t="s">
        <v>56</v>
      </c>
      <c r="E39" t="s">
        <v>57</v>
      </c>
      <c r="F39">
        <v>329</v>
      </c>
      <c r="G39">
        <v>2591200</v>
      </c>
      <c r="H39">
        <v>7875.9878419452889</v>
      </c>
    </row>
    <row r="40" spans="1:8" x14ac:dyDescent="0.2">
      <c r="A40" t="s">
        <v>8</v>
      </c>
      <c r="B40" t="s">
        <v>9</v>
      </c>
      <c r="C40" t="s">
        <v>60</v>
      </c>
      <c r="D40" t="s">
        <v>56</v>
      </c>
      <c r="E40" t="s">
        <v>57</v>
      </c>
      <c r="F40">
        <v>234</v>
      </c>
      <c r="G40">
        <v>1954963.092269327</v>
      </c>
      <c r="H40">
        <v>8354.5431293560978</v>
      </c>
    </row>
    <row r="41" spans="1:8" x14ac:dyDescent="0.2">
      <c r="A41" t="s">
        <v>8</v>
      </c>
      <c r="B41" t="s">
        <v>9</v>
      </c>
      <c r="C41" t="s">
        <v>61</v>
      </c>
      <c r="D41" t="s">
        <v>56</v>
      </c>
      <c r="E41" t="s">
        <v>57</v>
      </c>
      <c r="F41">
        <v>327</v>
      </c>
      <c r="G41">
        <v>3151747.0711297072</v>
      </c>
      <c r="H41">
        <v>9638.3702481030796</v>
      </c>
    </row>
    <row r="42" spans="1:8" x14ac:dyDescent="0.2">
      <c r="A42" t="s">
        <v>8</v>
      </c>
      <c r="B42" t="s">
        <v>9</v>
      </c>
      <c r="C42" t="s">
        <v>62</v>
      </c>
      <c r="D42" t="s">
        <v>56</v>
      </c>
      <c r="E42" t="s">
        <v>57</v>
      </c>
      <c r="F42">
        <v>516</v>
      </c>
      <c r="G42">
        <v>4279103.1390134525</v>
      </c>
      <c r="H42">
        <v>8292.835540723745</v>
      </c>
    </row>
    <row r="43" spans="1:8" x14ac:dyDescent="0.2">
      <c r="A43" t="s">
        <v>8</v>
      </c>
      <c r="B43" t="s">
        <v>9</v>
      </c>
      <c r="C43" t="s">
        <v>63</v>
      </c>
      <c r="D43" t="s">
        <v>56</v>
      </c>
      <c r="E43" t="s">
        <v>57</v>
      </c>
      <c r="F43">
        <v>319</v>
      </c>
      <c r="G43">
        <v>2927804.838709678</v>
      </c>
      <c r="H43">
        <v>9178.0715947011831</v>
      </c>
    </row>
    <row r="44" spans="1:8" x14ac:dyDescent="0.2">
      <c r="A44" t="s">
        <v>8</v>
      </c>
      <c r="B44" t="s">
        <v>9</v>
      </c>
      <c r="C44" t="s">
        <v>64</v>
      </c>
      <c r="D44" t="s">
        <v>65</v>
      </c>
      <c r="E44" t="s">
        <v>66</v>
      </c>
      <c r="F44">
        <v>182</v>
      </c>
      <c r="G44">
        <v>1761119.533527697</v>
      </c>
      <c r="H44">
        <v>9676.4809534488832</v>
      </c>
    </row>
    <row r="45" spans="1:8" x14ac:dyDescent="0.2">
      <c r="A45" t="s">
        <v>8</v>
      </c>
      <c r="B45" t="s">
        <v>9</v>
      </c>
      <c r="C45" t="s">
        <v>67</v>
      </c>
      <c r="D45" t="s">
        <v>65</v>
      </c>
      <c r="E45" t="s">
        <v>66</v>
      </c>
      <c r="F45">
        <v>177</v>
      </c>
      <c r="G45">
        <v>2010300</v>
      </c>
      <c r="H45">
        <v>11357.62711864407</v>
      </c>
    </row>
    <row r="46" spans="1:8" x14ac:dyDescent="0.2">
      <c r="A46" t="s">
        <v>8</v>
      </c>
      <c r="B46" t="s">
        <v>9</v>
      </c>
      <c r="C46" t="s">
        <v>68</v>
      </c>
      <c r="D46" t="s">
        <v>65</v>
      </c>
      <c r="E46" t="s">
        <v>66</v>
      </c>
      <c r="F46">
        <v>164</v>
      </c>
      <c r="G46">
        <v>1653850.5747126441</v>
      </c>
      <c r="H46">
        <v>10084.45472385758</v>
      </c>
    </row>
    <row r="47" spans="1:8" x14ac:dyDescent="0.2">
      <c r="A47" t="s">
        <v>8</v>
      </c>
      <c r="B47" t="s">
        <v>9</v>
      </c>
      <c r="C47" t="s">
        <v>69</v>
      </c>
      <c r="D47" t="s">
        <v>65</v>
      </c>
      <c r="E47" t="s">
        <v>66</v>
      </c>
      <c r="F47">
        <v>132</v>
      </c>
      <c r="G47">
        <v>1542900</v>
      </c>
      <c r="H47">
        <v>11688.63636363636</v>
      </c>
    </row>
    <row r="48" spans="1:8" x14ac:dyDescent="0.2">
      <c r="A48" t="s">
        <v>8</v>
      </c>
      <c r="B48" t="s">
        <v>9</v>
      </c>
      <c r="C48" t="s">
        <v>70</v>
      </c>
      <c r="D48" t="s">
        <v>65</v>
      </c>
      <c r="E48" t="s">
        <v>66</v>
      </c>
      <c r="F48">
        <v>206</v>
      </c>
      <c r="G48">
        <v>2193271.3903743322</v>
      </c>
      <c r="H48">
        <v>10646.948496962779</v>
      </c>
    </row>
    <row r="49" spans="1:8" x14ac:dyDescent="0.2">
      <c r="A49" t="s">
        <v>8</v>
      </c>
      <c r="B49" t="s">
        <v>9</v>
      </c>
      <c r="C49" t="s">
        <v>71</v>
      </c>
      <c r="D49" t="s">
        <v>65</v>
      </c>
      <c r="E49" t="s">
        <v>66</v>
      </c>
      <c r="F49">
        <v>249</v>
      </c>
      <c r="G49">
        <v>2801111.7647058819</v>
      </c>
      <c r="H49">
        <v>11249.44483817623</v>
      </c>
    </row>
    <row r="50" spans="1:8" x14ac:dyDescent="0.2">
      <c r="A50" t="s">
        <v>8</v>
      </c>
      <c r="B50" t="s">
        <v>9</v>
      </c>
      <c r="C50" t="s">
        <v>72</v>
      </c>
      <c r="D50" t="s">
        <v>65</v>
      </c>
      <c r="E50" t="s">
        <v>66</v>
      </c>
      <c r="F50">
        <v>137</v>
      </c>
      <c r="G50">
        <v>1777412.7272727271</v>
      </c>
      <c r="H50">
        <v>12973.81552753816</v>
      </c>
    </row>
    <row r="51" spans="1:8" x14ac:dyDescent="0.2">
      <c r="A51" t="s">
        <v>8</v>
      </c>
      <c r="B51" t="s">
        <v>9</v>
      </c>
      <c r="C51" t="s">
        <v>73</v>
      </c>
      <c r="D51" t="s">
        <v>74</v>
      </c>
      <c r="E51" t="s">
        <v>75</v>
      </c>
      <c r="F51">
        <v>142</v>
      </c>
      <c r="G51">
        <v>1580132.2085889571</v>
      </c>
      <c r="H51">
        <v>11127.69160978139</v>
      </c>
    </row>
    <row r="52" spans="1:8" x14ac:dyDescent="0.2">
      <c r="A52" t="s">
        <v>8</v>
      </c>
      <c r="B52" t="s">
        <v>9</v>
      </c>
      <c r="C52" t="s">
        <v>76</v>
      </c>
      <c r="D52" t="s">
        <v>74</v>
      </c>
      <c r="E52" t="s">
        <v>75</v>
      </c>
      <c r="F52">
        <v>118</v>
      </c>
      <c r="G52">
        <v>1722500</v>
      </c>
      <c r="H52">
        <v>14597.45762711864</v>
      </c>
    </row>
    <row r="53" spans="1:8" x14ac:dyDescent="0.2">
      <c r="A53" t="s">
        <v>8</v>
      </c>
      <c r="B53" t="s">
        <v>9</v>
      </c>
      <c r="C53" t="s">
        <v>77</v>
      </c>
      <c r="D53" t="s">
        <v>74</v>
      </c>
      <c r="E53" t="s">
        <v>75</v>
      </c>
      <c r="F53">
        <v>139</v>
      </c>
      <c r="G53">
        <v>1618900</v>
      </c>
      <c r="H53">
        <v>11646.762589928059</v>
      </c>
    </row>
    <row r="54" spans="1:8" x14ac:dyDescent="0.2">
      <c r="A54" t="s">
        <v>8</v>
      </c>
      <c r="B54" t="s">
        <v>9</v>
      </c>
      <c r="C54" t="s">
        <v>78</v>
      </c>
      <c r="D54" t="s">
        <v>74</v>
      </c>
      <c r="E54" t="s">
        <v>75</v>
      </c>
      <c r="F54">
        <v>128</v>
      </c>
      <c r="G54">
        <v>1506900</v>
      </c>
      <c r="H54">
        <v>11772.65625</v>
      </c>
    </row>
    <row r="55" spans="1:8" x14ac:dyDescent="0.2">
      <c r="A55" t="s">
        <v>8</v>
      </c>
      <c r="B55" t="s">
        <v>9</v>
      </c>
      <c r="C55" t="s">
        <v>79</v>
      </c>
      <c r="D55" t="s">
        <v>74</v>
      </c>
      <c r="E55" t="s">
        <v>75</v>
      </c>
      <c r="F55">
        <v>218</v>
      </c>
      <c r="G55">
        <v>2569800</v>
      </c>
      <c r="H55">
        <v>11788.07339449541</v>
      </c>
    </row>
    <row r="56" spans="1:8" x14ac:dyDescent="0.2">
      <c r="A56" t="s">
        <v>8</v>
      </c>
      <c r="B56" t="s">
        <v>9</v>
      </c>
      <c r="C56" t="s">
        <v>80</v>
      </c>
      <c r="D56" t="s">
        <v>74</v>
      </c>
      <c r="E56" t="s">
        <v>75</v>
      </c>
      <c r="F56">
        <v>319</v>
      </c>
      <c r="G56">
        <v>3653800</v>
      </c>
      <c r="H56">
        <v>11453.918495297799</v>
      </c>
    </row>
    <row r="57" spans="1:8" x14ac:dyDescent="0.2">
      <c r="A57" t="s">
        <v>8</v>
      </c>
      <c r="B57" t="s">
        <v>9</v>
      </c>
      <c r="C57" t="s">
        <v>81</v>
      </c>
      <c r="D57" t="s">
        <v>74</v>
      </c>
      <c r="E57" t="s">
        <v>75</v>
      </c>
      <c r="F57">
        <v>114</v>
      </c>
      <c r="G57">
        <v>1424250</v>
      </c>
      <c r="H57">
        <v>12493.42105263158</v>
      </c>
    </row>
    <row r="58" spans="1:8" x14ac:dyDescent="0.2">
      <c r="A58" t="s">
        <v>8</v>
      </c>
      <c r="B58" t="s">
        <v>9</v>
      </c>
      <c r="C58" t="s">
        <v>82</v>
      </c>
      <c r="D58" t="s">
        <v>83</v>
      </c>
      <c r="E58" t="s">
        <v>84</v>
      </c>
      <c r="F58">
        <v>157</v>
      </c>
      <c r="G58">
        <v>2246350</v>
      </c>
      <c r="H58">
        <v>14307.96178343949</v>
      </c>
    </row>
    <row r="59" spans="1:8" x14ac:dyDescent="0.2">
      <c r="A59" t="s">
        <v>8</v>
      </c>
      <c r="B59" t="s">
        <v>9</v>
      </c>
      <c r="C59" t="s">
        <v>85</v>
      </c>
      <c r="D59" t="s">
        <v>83</v>
      </c>
      <c r="E59" t="s">
        <v>84</v>
      </c>
      <c r="F59">
        <v>172</v>
      </c>
      <c r="G59">
        <v>2280600</v>
      </c>
      <c r="H59">
        <v>13259.302325581401</v>
      </c>
    </row>
    <row r="60" spans="1:8" x14ac:dyDescent="0.2">
      <c r="A60" t="s">
        <v>8</v>
      </c>
      <c r="B60" t="s">
        <v>9</v>
      </c>
      <c r="C60" t="s">
        <v>86</v>
      </c>
      <c r="D60" t="s">
        <v>83</v>
      </c>
      <c r="E60" t="s">
        <v>84</v>
      </c>
      <c r="F60">
        <v>165</v>
      </c>
      <c r="G60">
        <v>2094700</v>
      </c>
      <c r="H60">
        <v>12695.15151515152</v>
      </c>
    </row>
    <row r="61" spans="1:8" x14ac:dyDescent="0.2">
      <c r="A61" t="s">
        <v>8</v>
      </c>
      <c r="B61" t="s">
        <v>9</v>
      </c>
      <c r="C61" t="s">
        <v>87</v>
      </c>
      <c r="D61" t="s">
        <v>83</v>
      </c>
      <c r="E61" t="s">
        <v>84</v>
      </c>
      <c r="F61">
        <v>135</v>
      </c>
      <c r="G61">
        <v>1745900</v>
      </c>
      <c r="H61">
        <v>12932.592592592589</v>
      </c>
    </row>
    <row r="62" spans="1:8" x14ac:dyDescent="0.2">
      <c r="A62" t="s">
        <v>8</v>
      </c>
      <c r="B62" t="s">
        <v>9</v>
      </c>
      <c r="C62" t="s">
        <v>88</v>
      </c>
      <c r="D62" t="s">
        <v>83</v>
      </c>
      <c r="E62" t="s">
        <v>84</v>
      </c>
      <c r="F62">
        <v>210</v>
      </c>
      <c r="G62">
        <v>2387800</v>
      </c>
      <c r="H62">
        <v>11370.476190476191</v>
      </c>
    </row>
    <row r="63" spans="1:8" x14ac:dyDescent="0.2">
      <c r="A63" t="s">
        <v>8</v>
      </c>
      <c r="B63" t="s">
        <v>9</v>
      </c>
      <c r="C63" t="s">
        <v>89</v>
      </c>
      <c r="D63" t="s">
        <v>83</v>
      </c>
      <c r="E63" t="s">
        <v>84</v>
      </c>
      <c r="F63">
        <v>248</v>
      </c>
      <c r="G63">
        <v>3008500</v>
      </c>
      <c r="H63">
        <v>12131.048387096769</v>
      </c>
    </row>
    <row r="64" spans="1:8" x14ac:dyDescent="0.2">
      <c r="A64" t="s">
        <v>8</v>
      </c>
      <c r="B64" t="s">
        <v>9</v>
      </c>
      <c r="C64" t="s">
        <v>90</v>
      </c>
      <c r="D64" t="s">
        <v>83</v>
      </c>
      <c r="E64" t="s">
        <v>84</v>
      </c>
      <c r="F64">
        <v>195</v>
      </c>
      <c r="G64">
        <v>2375500</v>
      </c>
      <c r="H64">
        <v>12182.051282051279</v>
      </c>
    </row>
    <row r="65" spans="1:8" x14ac:dyDescent="0.2">
      <c r="A65" t="s">
        <v>8</v>
      </c>
      <c r="B65" t="s">
        <v>9</v>
      </c>
      <c r="C65" t="s">
        <v>91</v>
      </c>
      <c r="D65" t="s">
        <v>92</v>
      </c>
      <c r="E65" t="s">
        <v>93</v>
      </c>
      <c r="F65">
        <v>198</v>
      </c>
      <c r="G65">
        <v>2503600</v>
      </c>
      <c r="H65">
        <v>12644.444444444451</v>
      </c>
    </row>
    <row r="66" spans="1:8" x14ac:dyDescent="0.2">
      <c r="A66" t="s">
        <v>8</v>
      </c>
      <c r="B66" t="s">
        <v>9</v>
      </c>
      <c r="C66" t="s">
        <v>94</v>
      </c>
      <c r="D66" t="s">
        <v>92</v>
      </c>
      <c r="E66" t="s">
        <v>93</v>
      </c>
      <c r="F66">
        <v>233</v>
      </c>
      <c r="G66">
        <v>3043890.170940171</v>
      </c>
      <c r="H66">
        <v>13063.906313047941</v>
      </c>
    </row>
    <row r="67" spans="1:8" x14ac:dyDescent="0.2">
      <c r="A67" t="s">
        <v>8</v>
      </c>
      <c r="B67" t="s">
        <v>9</v>
      </c>
      <c r="C67" t="s">
        <v>95</v>
      </c>
      <c r="D67" t="s">
        <v>92</v>
      </c>
      <c r="E67" t="s">
        <v>93</v>
      </c>
      <c r="F67">
        <v>160</v>
      </c>
      <c r="G67">
        <v>1859079.4520547939</v>
      </c>
      <c r="H67">
        <v>11619.246575342469</v>
      </c>
    </row>
    <row r="68" spans="1:8" x14ac:dyDescent="0.2">
      <c r="A68" t="s">
        <v>8</v>
      </c>
      <c r="B68" t="s">
        <v>9</v>
      </c>
      <c r="C68" t="s">
        <v>96</v>
      </c>
      <c r="D68" t="s">
        <v>92</v>
      </c>
      <c r="E68" t="s">
        <v>93</v>
      </c>
      <c r="F68">
        <v>114</v>
      </c>
      <c r="G68">
        <v>1643100</v>
      </c>
      <c r="H68">
        <v>14413.15789473684</v>
      </c>
    </row>
    <row r="69" spans="1:8" x14ac:dyDescent="0.2">
      <c r="A69" t="s">
        <v>8</v>
      </c>
      <c r="B69" t="s">
        <v>9</v>
      </c>
      <c r="C69" t="s">
        <v>97</v>
      </c>
      <c r="D69" t="s">
        <v>92</v>
      </c>
      <c r="E69" t="s">
        <v>93</v>
      </c>
      <c r="F69">
        <v>207</v>
      </c>
      <c r="G69">
        <v>2442700</v>
      </c>
      <c r="H69">
        <v>11800.483091787441</v>
      </c>
    </row>
    <row r="70" spans="1:8" x14ac:dyDescent="0.2">
      <c r="A70" t="s">
        <v>8</v>
      </c>
      <c r="B70" t="s">
        <v>9</v>
      </c>
      <c r="C70" t="s">
        <v>98</v>
      </c>
      <c r="D70" t="s">
        <v>92</v>
      </c>
      <c r="E70" t="s">
        <v>93</v>
      </c>
      <c r="F70">
        <v>262</v>
      </c>
      <c r="G70">
        <v>2832500</v>
      </c>
      <c r="H70">
        <v>10811.06870229008</v>
      </c>
    </row>
    <row r="71" spans="1:8" x14ac:dyDescent="0.2">
      <c r="A71" t="s">
        <v>8</v>
      </c>
      <c r="B71" t="s">
        <v>9</v>
      </c>
      <c r="C71" t="s">
        <v>99</v>
      </c>
      <c r="D71" t="s">
        <v>92</v>
      </c>
      <c r="E71" t="s">
        <v>93</v>
      </c>
      <c r="F71">
        <v>165</v>
      </c>
      <c r="G71">
        <v>1919000</v>
      </c>
      <c r="H71">
        <v>11630.30303030303</v>
      </c>
    </row>
    <row r="72" spans="1:8" x14ac:dyDescent="0.2">
      <c r="A72" t="s">
        <v>8</v>
      </c>
      <c r="B72" t="s">
        <v>9</v>
      </c>
      <c r="C72" t="s">
        <v>100</v>
      </c>
      <c r="D72" t="s">
        <v>101</v>
      </c>
      <c r="E72" t="s">
        <v>102</v>
      </c>
      <c r="F72">
        <v>139</v>
      </c>
      <c r="G72">
        <v>1800100</v>
      </c>
      <c r="H72">
        <v>12950.35971223022</v>
      </c>
    </row>
    <row r="73" spans="1:8" x14ac:dyDescent="0.2">
      <c r="A73" t="s">
        <v>8</v>
      </c>
      <c r="B73" t="s">
        <v>9</v>
      </c>
      <c r="C73" t="s">
        <v>103</v>
      </c>
      <c r="D73" t="s">
        <v>101</v>
      </c>
      <c r="E73" t="s">
        <v>102</v>
      </c>
      <c r="F73">
        <v>176</v>
      </c>
      <c r="G73">
        <v>2030563.1868131871</v>
      </c>
      <c r="H73">
        <v>11537.290834165829</v>
      </c>
    </row>
    <row r="74" spans="1:8" x14ac:dyDescent="0.2">
      <c r="A74" t="s">
        <v>8</v>
      </c>
      <c r="B74" t="s">
        <v>9</v>
      </c>
      <c r="C74" t="s">
        <v>104</v>
      </c>
      <c r="D74" t="s">
        <v>101</v>
      </c>
      <c r="E74" t="s">
        <v>102</v>
      </c>
      <c r="F74">
        <v>166</v>
      </c>
      <c r="G74">
        <v>1971000</v>
      </c>
      <c r="H74">
        <v>11873.493975903621</v>
      </c>
    </row>
    <row r="75" spans="1:8" x14ac:dyDescent="0.2">
      <c r="A75" t="s">
        <v>8</v>
      </c>
      <c r="B75" t="s">
        <v>9</v>
      </c>
      <c r="C75" t="s">
        <v>105</v>
      </c>
      <c r="D75" t="s">
        <v>101</v>
      </c>
      <c r="E75" t="s">
        <v>102</v>
      </c>
      <c r="F75">
        <v>141</v>
      </c>
      <c r="G75">
        <v>1783321.068249258</v>
      </c>
      <c r="H75">
        <v>12647.667150703959</v>
      </c>
    </row>
    <row r="76" spans="1:8" x14ac:dyDescent="0.2">
      <c r="A76" t="s">
        <v>8</v>
      </c>
      <c r="B76" t="s">
        <v>9</v>
      </c>
      <c r="C76" t="s">
        <v>106</v>
      </c>
      <c r="D76" t="s">
        <v>101</v>
      </c>
      <c r="E76" t="s">
        <v>102</v>
      </c>
      <c r="F76">
        <v>246</v>
      </c>
      <c r="G76">
        <v>2848243.9909297051</v>
      </c>
      <c r="H76">
        <v>11578.227605405311</v>
      </c>
    </row>
    <row r="77" spans="1:8" x14ac:dyDescent="0.2">
      <c r="A77" t="s">
        <v>8</v>
      </c>
      <c r="B77" t="s">
        <v>9</v>
      </c>
      <c r="C77" t="s">
        <v>107</v>
      </c>
      <c r="D77" t="s">
        <v>101</v>
      </c>
      <c r="E77" t="s">
        <v>102</v>
      </c>
      <c r="F77">
        <v>294</v>
      </c>
      <c r="G77">
        <v>3486333.9658444021</v>
      </c>
      <c r="H77">
        <v>11858.27879538912</v>
      </c>
    </row>
    <row r="78" spans="1:8" x14ac:dyDescent="0.2">
      <c r="A78" t="s">
        <v>8</v>
      </c>
      <c r="B78" t="s">
        <v>9</v>
      </c>
      <c r="C78" t="s">
        <v>108</v>
      </c>
      <c r="D78" t="s">
        <v>101</v>
      </c>
      <c r="E78" t="s">
        <v>102</v>
      </c>
      <c r="F78">
        <v>151</v>
      </c>
      <c r="G78">
        <v>1920900</v>
      </c>
      <c r="H78">
        <v>12721.19205298013</v>
      </c>
    </row>
    <row r="79" spans="1:8" x14ac:dyDescent="0.2">
      <c r="A79" t="s">
        <v>8</v>
      </c>
      <c r="B79" t="s">
        <v>9</v>
      </c>
      <c r="C79" t="s">
        <v>109</v>
      </c>
      <c r="F79">
        <v>154</v>
      </c>
      <c r="G79">
        <v>2147175.6157635469</v>
      </c>
      <c r="H79">
        <v>13942.698803659399</v>
      </c>
    </row>
    <row r="80" spans="1:8" x14ac:dyDescent="0.2">
      <c r="A80" t="s">
        <v>8</v>
      </c>
      <c r="B80" t="s">
        <v>9</v>
      </c>
      <c r="C80" t="s">
        <v>110</v>
      </c>
      <c r="F80">
        <v>157</v>
      </c>
      <c r="G80">
        <v>1998948.5411140581</v>
      </c>
      <c r="H80">
        <v>12732.1563128284</v>
      </c>
    </row>
    <row r="81" spans="1:8" x14ac:dyDescent="0.2">
      <c r="A81" t="s">
        <v>8</v>
      </c>
      <c r="B81" t="s">
        <v>9</v>
      </c>
      <c r="C81" t="s">
        <v>111</v>
      </c>
      <c r="F81">
        <v>156</v>
      </c>
      <c r="G81">
        <v>2039247.5490196079</v>
      </c>
      <c r="H81">
        <v>13072.099673202611</v>
      </c>
    </row>
    <row r="82" spans="1:8" x14ac:dyDescent="0.2">
      <c r="A82" t="s">
        <v>8</v>
      </c>
      <c r="B82" t="s">
        <v>9</v>
      </c>
      <c r="C82" t="s">
        <v>112</v>
      </c>
      <c r="D82" t="s">
        <v>113</v>
      </c>
      <c r="E82" t="s">
        <v>114</v>
      </c>
      <c r="F82">
        <v>638</v>
      </c>
      <c r="G82">
        <v>7087850</v>
      </c>
      <c r="H82">
        <v>11109.48275862069</v>
      </c>
    </row>
    <row r="83" spans="1:8" x14ac:dyDescent="0.2">
      <c r="A83" t="s">
        <v>8</v>
      </c>
      <c r="B83" t="s">
        <v>9</v>
      </c>
      <c r="C83" t="s">
        <v>115</v>
      </c>
      <c r="D83" t="s">
        <v>113</v>
      </c>
      <c r="E83" t="s">
        <v>114</v>
      </c>
      <c r="F83">
        <v>1319</v>
      </c>
      <c r="G83">
        <v>14535100</v>
      </c>
      <c r="H83">
        <v>11019.78771796816</v>
      </c>
    </row>
    <row r="84" spans="1:8" x14ac:dyDescent="0.2">
      <c r="A84" t="s">
        <v>8</v>
      </c>
      <c r="B84" t="s">
        <v>9</v>
      </c>
      <c r="C84" t="s">
        <v>116</v>
      </c>
      <c r="D84" t="s">
        <v>113</v>
      </c>
      <c r="E84" t="s">
        <v>114</v>
      </c>
      <c r="F84">
        <v>1177</v>
      </c>
      <c r="G84">
        <v>14232200</v>
      </c>
      <c r="H84">
        <v>12091.92863211555</v>
      </c>
    </row>
    <row r="85" spans="1:8" x14ac:dyDescent="0.2">
      <c r="A85" t="s">
        <v>8</v>
      </c>
      <c r="B85" t="s">
        <v>9</v>
      </c>
      <c r="C85" t="s">
        <v>117</v>
      </c>
      <c r="D85" t="s">
        <v>113</v>
      </c>
      <c r="E85" t="s">
        <v>114</v>
      </c>
      <c r="F85">
        <v>772</v>
      </c>
      <c r="G85">
        <v>9046700</v>
      </c>
      <c r="H85">
        <v>11718.523316062179</v>
      </c>
    </row>
    <row r="86" spans="1:8" x14ac:dyDescent="0.2">
      <c r="A86" t="s">
        <v>8</v>
      </c>
      <c r="B86" t="s">
        <v>9</v>
      </c>
      <c r="C86" t="s">
        <v>118</v>
      </c>
      <c r="D86" t="s">
        <v>113</v>
      </c>
      <c r="E86" t="s">
        <v>114</v>
      </c>
      <c r="F86">
        <v>1051</v>
      </c>
      <c r="G86">
        <v>12357703.694102401</v>
      </c>
      <c r="H86">
        <v>11758.043476786301</v>
      </c>
    </row>
    <row r="87" spans="1:8" x14ac:dyDescent="0.2">
      <c r="A87" t="s">
        <v>8</v>
      </c>
      <c r="B87" t="s">
        <v>9</v>
      </c>
      <c r="C87" t="s">
        <v>119</v>
      </c>
      <c r="D87" t="s">
        <v>113</v>
      </c>
      <c r="E87" t="s">
        <v>114</v>
      </c>
      <c r="F87">
        <v>901</v>
      </c>
      <c r="G87">
        <v>11256450</v>
      </c>
      <c r="H87">
        <v>12493.28523862375</v>
      </c>
    </row>
    <row r="88" spans="1:8" x14ac:dyDescent="0.2">
      <c r="A88" t="s">
        <v>8</v>
      </c>
      <c r="B88" t="s">
        <v>9</v>
      </c>
      <c r="C88" t="s">
        <v>120</v>
      </c>
      <c r="D88" t="s">
        <v>113</v>
      </c>
      <c r="E88" t="s">
        <v>114</v>
      </c>
      <c r="F88">
        <v>998</v>
      </c>
      <c r="G88">
        <v>12498000</v>
      </c>
      <c r="H88">
        <v>12523.04609218437</v>
      </c>
    </row>
    <row r="89" spans="1:8" x14ac:dyDescent="0.2">
      <c r="A89" t="s">
        <v>8</v>
      </c>
      <c r="B89" t="s">
        <v>9</v>
      </c>
      <c r="C89" t="s">
        <v>121</v>
      </c>
      <c r="D89" t="s">
        <v>113</v>
      </c>
      <c r="E89" t="s">
        <v>114</v>
      </c>
      <c r="F89">
        <v>940</v>
      </c>
      <c r="G89">
        <v>12166100</v>
      </c>
      <c r="H89">
        <v>12942.659574468091</v>
      </c>
    </row>
    <row r="90" spans="1:8" x14ac:dyDescent="0.2">
      <c r="A90" t="s">
        <v>8</v>
      </c>
      <c r="B90" t="s">
        <v>9</v>
      </c>
      <c r="C90" t="s">
        <v>122</v>
      </c>
      <c r="D90" t="s">
        <v>113</v>
      </c>
      <c r="E90" t="s">
        <v>114</v>
      </c>
      <c r="F90">
        <v>1170</v>
      </c>
      <c r="G90">
        <v>15457700</v>
      </c>
      <c r="H90">
        <v>13211.7094017094</v>
      </c>
    </row>
    <row r="91" spans="1:8" x14ac:dyDescent="0.2">
      <c r="A91" t="s">
        <v>8</v>
      </c>
      <c r="B91" t="s">
        <v>9</v>
      </c>
      <c r="C91" t="s">
        <v>123</v>
      </c>
      <c r="D91" t="s">
        <v>113</v>
      </c>
      <c r="E91" t="s">
        <v>114</v>
      </c>
      <c r="F91">
        <v>2877</v>
      </c>
      <c r="G91">
        <v>35322300</v>
      </c>
      <c r="H91">
        <v>12277.47653806048</v>
      </c>
    </row>
    <row r="92" spans="1:8" x14ac:dyDescent="0.2">
      <c r="A92" t="s">
        <v>8</v>
      </c>
      <c r="B92" t="s">
        <v>9</v>
      </c>
      <c r="C92" t="s">
        <v>124</v>
      </c>
      <c r="D92" t="s">
        <v>113</v>
      </c>
      <c r="E92" t="s">
        <v>114</v>
      </c>
      <c r="F92">
        <v>925</v>
      </c>
      <c r="G92">
        <v>13945584.81505516</v>
      </c>
      <c r="H92">
        <v>15076.307908167741</v>
      </c>
    </row>
    <row r="93" spans="1:8" x14ac:dyDescent="0.2">
      <c r="A93" t="s">
        <v>8</v>
      </c>
      <c r="B93" t="s">
        <v>9</v>
      </c>
      <c r="C93" t="s">
        <v>125</v>
      </c>
      <c r="D93" t="s">
        <v>126</v>
      </c>
      <c r="E93" t="s">
        <v>127</v>
      </c>
      <c r="F93">
        <v>136</v>
      </c>
      <c r="G93">
        <v>2010000</v>
      </c>
      <c r="H93">
        <v>14779.411764705879</v>
      </c>
    </row>
    <row r="94" spans="1:8" x14ac:dyDescent="0.2">
      <c r="A94" t="s">
        <v>8</v>
      </c>
      <c r="B94" t="s">
        <v>9</v>
      </c>
      <c r="C94" t="s">
        <v>128</v>
      </c>
      <c r="D94" t="s">
        <v>126</v>
      </c>
      <c r="E94" t="s">
        <v>127</v>
      </c>
      <c r="F94">
        <v>138</v>
      </c>
      <c r="G94">
        <v>1841500</v>
      </c>
      <c r="H94">
        <v>13344.20289855072</v>
      </c>
    </row>
    <row r="95" spans="1:8" x14ac:dyDescent="0.2">
      <c r="A95" t="s">
        <v>8</v>
      </c>
      <c r="B95" t="s">
        <v>9</v>
      </c>
      <c r="C95" t="s">
        <v>129</v>
      </c>
      <c r="D95" t="s">
        <v>126</v>
      </c>
      <c r="E95" t="s">
        <v>127</v>
      </c>
      <c r="F95">
        <v>133</v>
      </c>
      <c r="G95">
        <v>1891900</v>
      </c>
      <c r="H95">
        <v>14224.812030075191</v>
      </c>
    </row>
    <row r="96" spans="1:8" x14ac:dyDescent="0.2">
      <c r="A96" t="s">
        <v>8</v>
      </c>
      <c r="B96" t="s">
        <v>9</v>
      </c>
      <c r="C96" t="s">
        <v>130</v>
      </c>
      <c r="D96" t="s">
        <v>126</v>
      </c>
      <c r="E96" t="s">
        <v>127</v>
      </c>
      <c r="F96">
        <v>120</v>
      </c>
      <c r="G96">
        <v>1956800</v>
      </c>
      <c r="H96">
        <v>16306.66666666667</v>
      </c>
    </row>
    <row r="97" spans="1:8" x14ac:dyDescent="0.2">
      <c r="A97" t="s">
        <v>8</v>
      </c>
      <c r="B97" t="s">
        <v>9</v>
      </c>
      <c r="C97" t="s">
        <v>131</v>
      </c>
      <c r="D97" t="s">
        <v>126</v>
      </c>
      <c r="E97" t="s">
        <v>127</v>
      </c>
      <c r="F97">
        <v>186</v>
      </c>
      <c r="G97">
        <v>2408000</v>
      </c>
      <c r="H97">
        <v>12946.236559139779</v>
      </c>
    </row>
    <row r="98" spans="1:8" x14ac:dyDescent="0.2">
      <c r="A98" t="s">
        <v>8</v>
      </c>
      <c r="B98" t="s">
        <v>9</v>
      </c>
      <c r="C98" t="s">
        <v>132</v>
      </c>
      <c r="D98" t="s">
        <v>126</v>
      </c>
      <c r="E98" t="s">
        <v>127</v>
      </c>
      <c r="F98">
        <v>232</v>
      </c>
      <c r="G98">
        <v>2987576.421052631</v>
      </c>
      <c r="H98">
        <v>12877.484573502719</v>
      </c>
    </row>
    <row r="99" spans="1:8" x14ac:dyDescent="0.2">
      <c r="A99" t="s">
        <v>8</v>
      </c>
      <c r="B99" t="s">
        <v>9</v>
      </c>
      <c r="C99" t="s">
        <v>133</v>
      </c>
      <c r="D99" t="s">
        <v>126</v>
      </c>
      <c r="E99" t="s">
        <v>127</v>
      </c>
      <c r="F99">
        <v>100</v>
      </c>
      <c r="G99">
        <v>1617320.132013201</v>
      </c>
      <c r="H99">
        <v>16173.20132013201</v>
      </c>
    </row>
    <row r="100" spans="1:8" x14ac:dyDescent="0.2">
      <c r="A100" t="s">
        <v>8</v>
      </c>
      <c r="B100" t="s">
        <v>9</v>
      </c>
      <c r="C100" t="s">
        <v>134</v>
      </c>
      <c r="D100" t="s">
        <v>135</v>
      </c>
      <c r="E100" t="s">
        <v>136</v>
      </c>
      <c r="F100">
        <v>125</v>
      </c>
      <c r="G100">
        <v>1960800</v>
      </c>
      <c r="H100">
        <v>15686.4</v>
      </c>
    </row>
    <row r="101" spans="1:8" x14ac:dyDescent="0.2">
      <c r="A101" t="s">
        <v>8</v>
      </c>
      <c r="B101" t="s">
        <v>9</v>
      </c>
      <c r="C101" t="s">
        <v>137</v>
      </c>
      <c r="D101" t="s">
        <v>135</v>
      </c>
      <c r="E101" t="s">
        <v>136</v>
      </c>
      <c r="F101">
        <v>109</v>
      </c>
      <c r="G101">
        <v>1635700</v>
      </c>
      <c r="H101">
        <v>15006.42201834862</v>
      </c>
    </row>
    <row r="102" spans="1:8" x14ac:dyDescent="0.2">
      <c r="A102" t="s">
        <v>8</v>
      </c>
      <c r="B102" t="s">
        <v>9</v>
      </c>
      <c r="C102" t="s">
        <v>138</v>
      </c>
      <c r="D102" t="s">
        <v>135</v>
      </c>
      <c r="E102" t="s">
        <v>136</v>
      </c>
      <c r="F102">
        <v>101</v>
      </c>
      <c r="G102">
        <v>1384987.888198758</v>
      </c>
      <c r="H102">
        <v>13712.751368304531</v>
      </c>
    </row>
    <row r="103" spans="1:8" x14ac:dyDescent="0.2">
      <c r="A103" t="s">
        <v>8</v>
      </c>
      <c r="B103" t="s">
        <v>9</v>
      </c>
      <c r="C103" t="s">
        <v>139</v>
      </c>
      <c r="D103" t="s">
        <v>135</v>
      </c>
      <c r="E103" t="s">
        <v>136</v>
      </c>
      <c r="F103">
        <v>102</v>
      </c>
      <c r="G103">
        <v>1408239.252336449</v>
      </c>
      <c r="H103">
        <v>13806.2671797691</v>
      </c>
    </row>
    <row r="104" spans="1:8" x14ac:dyDescent="0.2">
      <c r="A104" t="s">
        <v>8</v>
      </c>
      <c r="B104" t="s">
        <v>9</v>
      </c>
      <c r="C104" t="s">
        <v>140</v>
      </c>
      <c r="D104" t="s">
        <v>135</v>
      </c>
      <c r="E104" t="s">
        <v>136</v>
      </c>
      <c r="F104">
        <v>147</v>
      </c>
      <c r="G104">
        <v>2006800</v>
      </c>
      <c r="H104">
        <v>13651.70068027211</v>
      </c>
    </row>
    <row r="105" spans="1:8" x14ac:dyDescent="0.2">
      <c r="A105" t="s">
        <v>8</v>
      </c>
      <c r="B105" t="s">
        <v>9</v>
      </c>
      <c r="C105" t="s">
        <v>141</v>
      </c>
      <c r="D105" t="s">
        <v>135</v>
      </c>
      <c r="E105" t="s">
        <v>136</v>
      </c>
      <c r="F105">
        <v>217</v>
      </c>
      <c r="G105">
        <v>2616680.272108844</v>
      </c>
      <c r="H105">
        <v>12058.43443368131</v>
      </c>
    </row>
    <row r="106" spans="1:8" x14ac:dyDescent="0.2">
      <c r="A106" t="s">
        <v>8</v>
      </c>
      <c r="B106" t="s">
        <v>9</v>
      </c>
      <c r="C106" t="s">
        <v>142</v>
      </c>
      <c r="D106" t="s">
        <v>135</v>
      </c>
      <c r="E106" t="s">
        <v>136</v>
      </c>
      <c r="F106">
        <v>108</v>
      </c>
      <c r="G106">
        <v>1845209.9447513809</v>
      </c>
      <c r="H106">
        <v>17085.27726621649</v>
      </c>
    </row>
    <row r="107" spans="1:8" x14ac:dyDescent="0.2">
      <c r="A107" t="s">
        <v>8</v>
      </c>
      <c r="B107" t="s">
        <v>9</v>
      </c>
      <c r="C107" t="s">
        <v>143</v>
      </c>
      <c r="D107" t="s">
        <v>144</v>
      </c>
      <c r="E107" t="s">
        <v>145</v>
      </c>
      <c r="F107">
        <v>113</v>
      </c>
      <c r="G107">
        <v>1737696.4769647699</v>
      </c>
      <c r="H107">
        <v>15377.844928891771</v>
      </c>
    </row>
    <row r="108" spans="1:8" x14ac:dyDescent="0.2">
      <c r="A108" t="s">
        <v>8</v>
      </c>
      <c r="B108" t="s">
        <v>9</v>
      </c>
      <c r="C108" t="s">
        <v>146</v>
      </c>
      <c r="D108" t="s">
        <v>144</v>
      </c>
      <c r="E108" t="s">
        <v>145</v>
      </c>
      <c r="F108">
        <v>105</v>
      </c>
      <c r="G108">
        <v>1818425.405405405</v>
      </c>
      <c r="H108">
        <v>17318.337194337189</v>
      </c>
    </row>
    <row r="109" spans="1:8" x14ac:dyDescent="0.2">
      <c r="A109" t="s">
        <v>8</v>
      </c>
      <c r="B109" t="s">
        <v>9</v>
      </c>
      <c r="C109" t="s">
        <v>147</v>
      </c>
      <c r="D109" t="s">
        <v>144</v>
      </c>
      <c r="E109" t="s">
        <v>145</v>
      </c>
      <c r="F109">
        <v>101</v>
      </c>
      <c r="G109">
        <v>1634867.621247113</v>
      </c>
      <c r="H109">
        <v>16186.80813115954</v>
      </c>
    </row>
    <row r="110" spans="1:8" x14ac:dyDescent="0.2">
      <c r="A110" t="s">
        <v>8</v>
      </c>
      <c r="B110" t="s">
        <v>9</v>
      </c>
      <c r="C110" t="s">
        <v>148</v>
      </c>
      <c r="D110" t="s">
        <v>144</v>
      </c>
      <c r="E110" t="s">
        <v>145</v>
      </c>
      <c r="F110">
        <v>111</v>
      </c>
      <c r="G110">
        <v>1731112.7610208821</v>
      </c>
      <c r="H110">
        <v>15595.61045964758</v>
      </c>
    </row>
    <row r="111" spans="1:8" x14ac:dyDescent="0.2">
      <c r="A111" t="s">
        <v>8</v>
      </c>
      <c r="B111" t="s">
        <v>9</v>
      </c>
      <c r="C111" t="s">
        <v>149</v>
      </c>
      <c r="D111" t="s">
        <v>144</v>
      </c>
      <c r="E111" t="s">
        <v>145</v>
      </c>
      <c r="F111">
        <v>157</v>
      </c>
      <c r="G111">
        <v>2023077.641723356</v>
      </c>
      <c r="H111">
        <v>12885.84485174112</v>
      </c>
    </row>
    <row r="112" spans="1:8" x14ac:dyDescent="0.2">
      <c r="A112" t="s">
        <v>8</v>
      </c>
      <c r="B112" t="s">
        <v>9</v>
      </c>
      <c r="C112" t="s">
        <v>150</v>
      </c>
      <c r="D112" t="s">
        <v>144</v>
      </c>
      <c r="E112" t="s">
        <v>145</v>
      </c>
      <c r="F112">
        <v>173</v>
      </c>
      <c r="G112">
        <v>2113763.752665245</v>
      </c>
      <c r="H112">
        <v>12218.287587660379</v>
      </c>
    </row>
    <row r="113" spans="1:8" x14ac:dyDescent="0.2">
      <c r="A113" t="s">
        <v>8</v>
      </c>
      <c r="B113" t="s">
        <v>9</v>
      </c>
      <c r="C113" t="s">
        <v>151</v>
      </c>
      <c r="D113" t="s">
        <v>144</v>
      </c>
      <c r="E113" t="s">
        <v>145</v>
      </c>
      <c r="F113">
        <v>143</v>
      </c>
      <c r="G113">
        <v>2069214.806378132</v>
      </c>
      <c r="H113">
        <v>14470.033611035889</v>
      </c>
    </row>
    <row r="114" spans="1:8" x14ac:dyDescent="0.2">
      <c r="A114" t="s">
        <v>8</v>
      </c>
      <c r="B114" t="s">
        <v>9</v>
      </c>
      <c r="C114" t="s">
        <v>152</v>
      </c>
      <c r="D114" t="s">
        <v>153</v>
      </c>
      <c r="E114" t="s">
        <v>154</v>
      </c>
      <c r="F114">
        <v>105</v>
      </c>
      <c r="G114">
        <v>1791600</v>
      </c>
      <c r="H114">
        <v>17062.857142857141</v>
      </c>
    </row>
    <row r="115" spans="1:8" x14ac:dyDescent="0.2">
      <c r="A115" t="s">
        <v>8</v>
      </c>
      <c r="B115" t="s">
        <v>9</v>
      </c>
      <c r="C115" t="s">
        <v>155</v>
      </c>
      <c r="D115" t="s">
        <v>153</v>
      </c>
      <c r="E115" t="s">
        <v>154</v>
      </c>
      <c r="F115">
        <v>94</v>
      </c>
      <c r="G115">
        <v>1651288.7878787881</v>
      </c>
      <c r="H115">
        <v>17566.901998710509</v>
      </c>
    </row>
    <row r="116" spans="1:8" x14ac:dyDescent="0.2">
      <c r="A116" t="s">
        <v>8</v>
      </c>
      <c r="B116" t="s">
        <v>9</v>
      </c>
      <c r="C116" t="s">
        <v>156</v>
      </c>
      <c r="D116" t="s">
        <v>153</v>
      </c>
      <c r="E116" t="s">
        <v>154</v>
      </c>
      <c r="F116">
        <v>115</v>
      </c>
      <c r="G116">
        <v>1695200</v>
      </c>
      <c r="H116">
        <v>14740.86956521739</v>
      </c>
    </row>
    <row r="117" spans="1:8" x14ac:dyDescent="0.2">
      <c r="A117" t="s">
        <v>8</v>
      </c>
      <c r="B117" t="s">
        <v>9</v>
      </c>
      <c r="C117" t="s">
        <v>157</v>
      </c>
      <c r="D117" t="s">
        <v>153</v>
      </c>
      <c r="E117" t="s">
        <v>154</v>
      </c>
      <c r="F117">
        <v>112</v>
      </c>
      <c r="G117">
        <v>1805800</v>
      </c>
      <c r="H117">
        <v>16123.21428571429</v>
      </c>
    </row>
    <row r="118" spans="1:8" x14ac:dyDescent="0.2">
      <c r="A118" t="s">
        <v>8</v>
      </c>
      <c r="B118" t="s">
        <v>9</v>
      </c>
      <c r="C118" t="s">
        <v>158</v>
      </c>
      <c r="D118" t="s">
        <v>153</v>
      </c>
      <c r="E118" t="s">
        <v>154</v>
      </c>
      <c r="F118">
        <v>142</v>
      </c>
      <c r="G118">
        <v>2062696.209912536</v>
      </c>
      <c r="H118">
        <v>14526.02964727138</v>
      </c>
    </row>
    <row r="119" spans="1:8" x14ac:dyDescent="0.2">
      <c r="A119" t="s">
        <v>8</v>
      </c>
      <c r="B119" t="s">
        <v>9</v>
      </c>
      <c r="C119" t="s">
        <v>159</v>
      </c>
      <c r="D119" t="s">
        <v>153</v>
      </c>
      <c r="E119" t="s">
        <v>154</v>
      </c>
      <c r="F119">
        <v>199</v>
      </c>
      <c r="G119">
        <v>2603100</v>
      </c>
      <c r="H119">
        <v>13080.904522613069</v>
      </c>
    </row>
    <row r="120" spans="1:8" x14ac:dyDescent="0.2">
      <c r="A120" t="s">
        <v>8</v>
      </c>
      <c r="B120" t="s">
        <v>9</v>
      </c>
      <c r="C120" t="s">
        <v>160</v>
      </c>
      <c r="D120" t="s">
        <v>153</v>
      </c>
      <c r="E120" t="s">
        <v>154</v>
      </c>
      <c r="F120">
        <v>97</v>
      </c>
      <c r="G120">
        <v>1702305.7803468211</v>
      </c>
      <c r="H120">
        <v>17549.544127286808</v>
      </c>
    </row>
    <row r="121" spans="1:8" x14ac:dyDescent="0.2">
      <c r="A121" t="s">
        <v>8</v>
      </c>
      <c r="B121" t="s">
        <v>9</v>
      </c>
      <c r="C121" t="s">
        <v>161</v>
      </c>
      <c r="D121" t="s">
        <v>162</v>
      </c>
      <c r="E121" t="s">
        <v>163</v>
      </c>
      <c r="F121">
        <v>148</v>
      </c>
      <c r="G121">
        <v>2166035.0617283951</v>
      </c>
      <c r="H121">
        <v>14635.372038705371</v>
      </c>
    </row>
    <row r="122" spans="1:8" x14ac:dyDescent="0.2">
      <c r="A122" t="s">
        <v>8</v>
      </c>
      <c r="B122" t="s">
        <v>9</v>
      </c>
      <c r="C122" t="s">
        <v>164</v>
      </c>
      <c r="D122" t="s">
        <v>162</v>
      </c>
      <c r="E122" t="s">
        <v>163</v>
      </c>
      <c r="F122">
        <v>129</v>
      </c>
      <c r="G122">
        <v>2007576.601671309</v>
      </c>
      <c r="H122">
        <v>15562.60931528147</v>
      </c>
    </row>
    <row r="123" spans="1:8" x14ac:dyDescent="0.2">
      <c r="A123" t="s">
        <v>8</v>
      </c>
      <c r="B123" t="s">
        <v>9</v>
      </c>
      <c r="C123" t="s">
        <v>165</v>
      </c>
      <c r="D123" t="s">
        <v>162</v>
      </c>
      <c r="E123" t="s">
        <v>163</v>
      </c>
      <c r="F123">
        <v>149</v>
      </c>
      <c r="G123">
        <v>2065544.366197183</v>
      </c>
      <c r="H123">
        <v>13862.71386709519</v>
      </c>
    </row>
    <row r="124" spans="1:8" x14ac:dyDescent="0.2">
      <c r="A124" t="s">
        <v>8</v>
      </c>
      <c r="B124" t="s">
        <v>9</v>
      </c>
      <c r="C124" t="s">
        <v>166</v>
      </c>
      <c r="D124" t="s">
        <v>162</v>
      </c>
      <c r="E124" t="s">
        <v>163</v>
      </c>
      <c r="F124">
        <v>167</v>
      </c>
      <c r="G124">
        <v>2380091.7025862071</v>
      </c>
      <c r="H124">
        <v>14252.0461232707</v>
      </c>
    </row>
    <row r="125" spans="1:8" x14ac:dyDescent="0.2">
      <c r="A125" t="s">
        <v>8</v>
      </c>
      <c r="B125" t="s">
        <v>9</v>
      </c>
      <c r="C125" t="s">
        <v>167</v>
      </c>
      <c r="D125" t="s">
        <v>162</v>
      </c>
      <c r="E125" t="s">
        <v>163</v>
      </c>
      <c r="F125">
        <v>192</v>
      </c>
      <c r="G125">
        <v>2538172.5430210331</v>
      </c>
      <c r="H125">
        <v>13219.64866156788</v>
      </c>
    </row>
    <row r="126" spans="1:8" x14ac:dyDescent="0.2">
      <c r="A126" t="s">
        <v>8</v>
      </c>
      <c r="B126" t="s">
        <v>9</v>
      </c>
      <c r="C126" t="s">
        <v>168</v>
      </c>
      <c r="D126" t="s">
        <v>162</v>
      </c>
      <c r="E126" t="s">
        <v>163</v>
      </c>
      <c r="F126">
        <v>255</v>
      </c>
      <c r="G126">
        <v>3113470.7432432431</v>
      </c>
      <c r="H126">
        <v>12209.68918918919</v>
      </c>
    </row>
    <row r="127" spans="1:8" x14ac:dyDescent="0.2">
      <c r="A127" t="s">
        <v>8</v>
      </c>
      <c r="B127" t="s">
        <v>9</v>
      </c>
      <c r="C127" t="s">
        <v>169</v>
      </c>
      <c r="D127" t="s">
        <v>162</v>
      </c>
      <c r="E127" t="s">
        <v>163</v>
      </c>
      <c r="F127">
        <v>208</v>
      </c>
      <c r="G127">
        <v>2902142.8571428568</v>
      </c>
      <c r="H127">
        <v>13952.60989010989</v>
      </c>
    </row>
    <row r="128" spans="1:8" x14ac:dyDescent="0.2">
      <c r="A128" t="s">
        <v>8</v>
      </c>
      <c r="B128" t="s">
        <v>9</v>
      </c>
      <c r="C128" t="s">
        <v>170</v>
      </c>
      <c r="D128" t="s">
        <v>171</v>
      </c>
      <c r="E128" t="s">
        <v>172</v>
      </c>
      <c r="F128">
        <v>125</v>
      </c>
      <c r="G128">
        <v>2396240</v>
      </c>
      <c r="H128">
        <v>19169.919999999998</v>
      </c>
    </row>
    <row r="129" spans="1:8" x14ac:dyDescent="0.2">
      <c r="A129" t="s">
        <v>8</v>
      </c>
      <c r="B129" t="s">
        <v>9</v>
      </c>
      <c r="C129" t="s">
        <v>173</v>
      </c>
      <c r="D129" t="s">
        <v>171</v>
      </c>
      <c r="E129" t="s">
        <v>172</v>
      </c>
      <c r="F129">
        <v>116</v>
      </c>
      <c r="G129">
        <v>2215900</v>
      </c>
      <c r="H129">
        <v>19102.586206896551</v>
      </c>
    </row>
    <row r="130" spans="1:8" x14ac:dyDescent="0.2">
      <c r="A130" t="s">
        <v>8</v>
      </c>
      <c r="B130" t="s">
        <v>9</v>
      </c>
      <c r="C130" t="s">
        <v>174</v>
      </c>
      <c r="D130" t="s">
        <v>171</v>
      </c>
      <c r="E130" t="s">
        <v>172</v>
      </c>
      <c r="F130">
        <v>154</v>
      </c>
      <c r="G130">
        <v>2215900</v>
      </c>
      <c r="H130">
        <v>14388.961038961041</v>
      </c>
    </row>
    <row r="131" spans="1:8" x14ac:dyDescent="0.2">
      <c r="A131" t="s">
        <v>8</v>
      </c>
      <c r="B131" t="s">
        <v>9</v>
      </c>
      <c r="C131" t="s">
        <v>175</v>
      </c>
      <c r="D131" t="s">
        <v>171</v>
      </c>
      <c r="E131" t="s">
        <v>172</v>
      </c>
      <c r="F131">
        <v>134</v>
      </c>
      <c r="G131">
        <v>2316790</v>
      </c>
      <c r="H131">
        <v>17289.4776119403</v>
      </c>
    </row>
    <row r="132" spans="1:8" x14ac:dyDescent="0.2">
      <c r="A132" t="s">
        <v>8</v>
      </c>
      <c r="B132" t="s">
        <v>9</v>
      </c>
      <c r="C132" t="s">
        <v>176</v>
      </c>
      <c r="D132" t="s">
        <v>171</v>
      </c>
      <c r="E132" t="s">
        <v>172</v>
      </c>
      <c r="F132">
        <v>183</v>
      </c>
      <c r="G132">
        <v>2818380</v>
      </c>
      <c r="H132">
        <v>15400.98360655738</v>
      </c>
    </row>
    <row r="133" spans="1:8" x14ac:dyDescent="0.2">
      <c r="A133" t="s">
        <v>8</v>
      </c>
      <c r="B133" t="s">
        <v>9</v>
      </c>
      <c r="C133" t="s">
        <v>177</v>
      </c>
      <c r="D133" t="s">
        <v>171</v>
      </c>
      <c r="E133" t="s">
        <v>172</v>
      </c>
      <c r="F133">
        <v>223</v>
      </c>
      <c r="G133">
        <v>2988890</v>
      </c>
      <c r="H133">
        <v>13403.09417040359</v>
      </c>
    </row>
    <row r="134" spans="1:8" x14ac:dyDescent="0.2">
      <c r="A134" t="s">
        <v>8</v>
      </c>
      <c r="B134" t="s">
        <v>9</v>
      </c>
      <c r="C134" t="s">
        <v>178</v>
      </c>
      <c r="D134" t="s">
        <v>171</v>
      </c>
      <c r="E134" t="s">
        <v>172</v>
      </c>
      <c r="F134">
        <v>222</v>
      </c>
      <c r="G134">
        <v>2219900</v>
      </c>
      <c r="H134">
        <v>9999.5495495495488</v>
      </c>
    </row>
    <row r="135" spans="1:8" x14ac:dyDescent="0.2">
      <c r="A135" t="s">
        <v>8</v>
      </c>
      <c r="B135" t="s">
        <v>9</v>
      </c>
      <c r="C135" t="s">
        <v>179</v>
      </c>
      <c r="D135" t="s">
        <v>180</v>
      </c>
      <c r="E135" t="s">
        <v>181</v>
      </c>
      <c r="F135">
        <v>163</v>
      </c>
      <c r="G135">
        <v>2215900</v>
      </c>
      <c r="H135">
        <v>13594.47852760736</v>
      </c>
    </row>
    <row r="136" spans="1:8" x14ac:dyDescent="0.2">
      <c r="A136" t="s">
        <v>8</v>
      </c>
      <c r="B136" t="s">
        <v>9</v>
      </c>
      <c r="C136" t="s">
        <v>182</v>
      </c>
      <c r="D136" t="s">
        <v>180</v>
      </c>
      <c r="E136" t="s">
        <v>181</v>
      </c>
      <c r="F136">
        <v>1</v>
      </c>
      <c r="G136">
        <v>2215900</v>
      </c>
      <c r="H136">
        <v>2215900</v>
      </c>
    </row>
    <row r="137" spans="1:8" x14ac:dyDescent="0.2">
      <c r="A137" t="s">
        <v>183</v>
      </c>
      <c r="B137" t="s">
        <v>9</v>
      </c>
      <c r="C137" t="s">
        <v>10</v>
      </c>
      <c r="D137" t="s">
        <v>11</v>
      </c>
      <c r="E137" t="s">
        <v>12</v>
      </c>
      <c r="F137">
        <v>1</v>
      </c>
      <c r="G137">
        <v>0</v>
      </c>
      <c r="H137">
        <v>0</v>
      </c>
    </row>
    <row r="138" spans="1:8" x14ac:dyDescent="0.2">
      <c r="A138" t="s">
        <v>183</v>
      </c>
      <c r="B138" t="s">
        <v>9</v>
      </c>
      <c r="C138" t="s">
        <v>13</v>
      </c>
      <c r="D138" t="s">
        <v>11</v>
      </c>
      <c r="E138" t="s">
        <v>12</v>
      </c>
      <c r="F138">
        <v>2</v>
      </c>
      <c r="G138">
        <v>0</v>
      </c>
      <c r="H138">
        <v>0</v>
      </c>
    </row>
    <row r="139" spans="1:8" x14ac:dyDescent="0.2">
      <c r="A139" t="s">
        <v>183</v>
      </c>
      <c r="B139" t="s">
        <v>9</v>
      </c>
      <c r="C139" t="s">
        <v>14</v>
      </c>
      <c r="D139" t="s">
        <v>11</v>
      </c>
      <c r="E139" t="s">
        <v>12</v>
      </c>
      <c r="F139">
        <v>5</v>
      </c>
      <c r="G139">
        <v>0</v>
      </c>
      <c r="H139">
        <v>0</v>
      </c>
    </row>
    <row r="140" spans="1:8" x14ac:dyDescent="0.2">
      <c r="A140" t="s">
        <v>183</v>
      </c>
      <c r="B140" t="s">
        <v>9</v>
      </c>
      <c r="C140" t="s">
        <v>15</v>
      </c>
      <c r="D140" t="s">
        <v>11</v>
      </c>
      <c r="E140" t="s">
        <v>12</v>
      </c>
      <c r="F140">
        <v>2</v>
      </c>
      <c r="G140">
        <v>0</v>
      </c>
      <c r="H140">
        <v>0</v>
      </c>
    </row>
    <row r="141" spans="1:8" x14ac:dyDescent="0.2">
      <c r="A141" t="s">
        <v>183</v>
      </c>
      <c r="B141" t="s">
        <v>9</v>
      </c>
      <c r="C141" t="s">
        <v>16</v>
      </c>
      <c r="D141" t="s">
        <v>11</v>
      </c>
      <c r="E141" t="s">
        <v>12</v>
      </c>
      <c r="F141">
        <v>3</v>
      </c>
      <c r="G141">
        <v>0</v>
      </c>
      <c r="H141">
        <v>0</v>
      </c>
    </row>
    <row r="142" spans="1:8" x14ac:dyDescent="0.2">
      <c r="A142" t="s">
        <v>183</v>
      </c>
      <c r="B142" t="s">
        <v>9</v>
      </c>
      <c r="C142" t="s">
        <v>17</v>
      </c>
      <c r="D142" t="s">
        <v>11</v>
      </c>
      <c r="E142" t="s">
        <v>12</v>
      </c>
      <c r="F142">
        <v>5</v>
      </c>
      <c r="G142">
        <v>0</v>
      </c>
      <c r="H142">
        <v>0</v>
      </c>
    </row>
    <row r="143" spans="1:8" x14ac:dyDescent="0.2">
      <c r="A143" t="s">
        <v>183</v>
      </c>
      <c r="B143" t="s">
        <v>9</v>
      </c>
      <c r="C143" t="s">
        <v>18</v>
      </c>
      <c r="D143" t="s">
        <v>11</v>
      </c>
      <c r="E143" t="s">
        <v>12</v>
      </c>
      <c r="F143">
        <v>1</v>
      </c>
      <c r="G143">
        <v>0</v>
      </c>
      <c r="H143">
        <v>0</v>
      </c>
    </row>
    <row r="144" spans="1:8" x14ac:dyDescent="0.2">
      <c r="A144" t="s">
        <v>183</v>
      </c>
      <c r="B144" t="s">
        <v>9</v>
      </c>
      <c r="C144" t="s">
        <v>19</v>
      </c>
      <c r="D144" t="s">
        <v>20</v>
      </c>
      <c r="E144" t="s">
        <v>21</v>
      </c>
      <c r="F144">
        <v>0</v>
      </c>
      <c r="G144">
        <v>0</v>
      </c>
      <c r="H144">
        <v>0</v>
      </c>
    </row>
    <row r="145" spans="1:8" x14ac:dyDescent="0.2">
      <c r="A145" t="s">
        <v>183</v>
      </c>
      <c r="B145" t="s">
        <v>9</v>
      </c>
      <c r="C145" t="s">
        <v>22</v>
      </c>
      <c r="D145" t="s">
        <v>20</v>
      </c>
      <c r="E145" t="s">
        <v>21</v>
      </c>
      <c r="F145">
        <v>0</v>
      </c>
      <c r="G145">
        <v>0</v>
      </c>
      <c r="H145">
        <v>0</v>
      </c>
    </row>
    <row r="146" spans="1:8" x14ac:dyDescent="0.2">
      <c r="A146" t="s">
        <v>183</v>
      </c>
      <c r="B146" t="s">
        <v>9</v>
      </c>
      <c r="C146" t="s">
        <v>23</v>
      </c>
      <c r="D146" t="s">
        <v>20</v>
      </c>
      <c r="E146" t="s">
        <v>21</v>
      </c>
      <c r="F146">
        <v>0</v>
      </c>
      <c r="G146">
        <v>0</v>
      </c>
      <c r="H146">
        <v>0</v>
      </c>
    </row>
    <row r="147" spans="1:8" x14ac:dyDescent="0.2">
      <c r="A147" t="s">
        <v>183</v>
      </c>
      <c r="B147" t="s">
        <v>9</v>
      </c>
      <c r="C147" t="s">
        <v>24</v>
      </c>
      <c r="D147" t="s">
        <v>20</v>
      </c>
      <c r="E147" t="s">
        <v>21</v>
      </c>
      <c r="F147">
        <v>0</v>
      </c>
      <c r="G147">
        <v>0</v>
      </c>
      <c r="H147">
        <v>0</v>
      </c>
    </row>
    <row r="148" spans="1:8" x14ac:dyDescent="0.2">
      <c r="A148" t="s">
        <v>183</v>
      </c>
      <c r="B148" t="s">
        <v>9</v>
      </c>
      <c r="C148" t="s">
        <v>25</v>
      </c>
      <c r="D148" t="s">
        <v>20</v>
      </c>
      <c r="E148" t="s">
        <v>21</v>
      </c>
      <c r="F148">
        <v>0</v>
      </c>
      <c r="G148">
        <v>0</v>
      </c>
      <c r="H148">
        <v>0</v>
      </c>
    </row>
    <row r="149" spans="1:8" x14ac:dyDescent="0.2">
      <c r="A149" t="s">
        <v>183</v>
      </c>
      <c r="B149" t="s">
        <v>9</v>
      </c>
      <c r="C149" t="s">
        <v>26</v>
      </c>
      <c r="D149" t="s">
        <v>20</v>
      </c>
      <c r="E149" t="s">
        <v>21</v>
      </c>
      <c r="F149">
        <v>0</v>
      </c>
      <c r="G149">
        <v>0</v>
      </c>
      <c r="H149">
        <v>0</v>
      </c>
    </row>
    <row r="150" spans="1:8" x14ac:dyDescent="0.2">
      <c r="A150" t="s">
        <v>183</v>
      </c>
      <c r="B150" t="s">
        <v>9</v>
      </c>
      <c r="C150" t="s">
        <v>27</v>
      </c>
      <c r="D150" t="s">
        <v>20</v>
      </c>
      <c r="E150" t="s">
        <v>21</v>
      </c>
      <c r="F150">
        <v>0</v>
      </c>
      <c r="G150">
        <v>0</v>
      </c>
      <c r="H150">
        <v>0</v>
      </c>
    </row>
    <row r="151" spans="1:8" x14ac:dyDescent="0.2">
      <c r="A151" t="s">
        <v>183</v>
      </c>
      <c r="B151" t="s">
        <v>9</v>
      </c>
      <c r="C151" t="s">
        <v>28</v>
      </c>
      <c r="D151" t="s">
        <v>29</v>
      </c>
      <c r="E151" t="s">
        <v>30</v>
      </c>
      <c r="F151">
        <v>0</v>
      </c>
      <c r="G151">
        <v>0</v>
      </c>
      <c r="H151">
        <v>0</v>
      </c>
    </row>
    <row r="152" spans="1:8" x14ac:dyDescent="0.2">
      <c r="A152" t="s">
        <v>183</v>
      </c>
      <c r="B152" t="s">
        <v>9</v>
      </c>
      <c r="C152" t="s">
        <v>31</v>
      </c>
      <c r="D152" t="s">
        <v>29</v>
      </c>
      <c r="E152" t="s">
        <v>30</v>
      </c>
      <c r="F152">
        <v>0</v>
      </c>
      <c r="G152">
        <v>0</v>
      </c>
      <c r="H152">
        <v>0</v>
      </c>
    </row>
    <row r="153" spans="1:8" x14ac:dyDescent="0.2">
      <c r="A153" t="s">
        <v>183</v>
      </c>
      <c r="B153" t="s">
        <v>9</v>
      </c>
      <c r="C153" t="s">
        <v>32</v>
      </c>
      <c r="D153" t="s">
        <v>29</v>
      </c>
      <c r="E153" t="s">
        <v>30</v>
      </c>
      <c r="F153">
        <v>0</v>
      </c>
      <c r="G153">
        <v>0</v>
      </c>
      <c r="H153">
        <v>0</v>
      </c>
    </row>
    <row r="154" spans="1:8" x14ac:dyDescent="0.2">
      <c r="A154" t="s">
        <v>183</v>
      </c>
      <c r="B154" t="s">
        <v>9</v>
      </c>
      <c r="C154" t="s">
        <v>33</v>
      </c>
      <c r="D154" t="s">
        <v>29</v>
      </c>
      <c r="E154" t="s">
        <v>30</v>
      </c>
      <c r="F154">
        <v>0</v>
      </c>
      <c r="G154">
        <v>0</v>
      </c>
      <c r="H154">
        <v>0</v>
      </c>
    </row>
    <row r="155" spans="1:8" x14ac:dyDescent="0.2">
      <c r="A155" t="s">
        <v>183</v>
      </c>
      <c r="B155" t="s">
        <v>9</v>
      </c>
      <c r="C155" t="s">
        <v>34</v>
      </c>
      <c r="D155" t="s">
        <v>29</v>
      </c>
      <c r="E155" t="s">
        <v>30</v>
      </c>
      <c r="F155">
        <v>0</v>
      </c>
      <c r="G155">
        <v>0</v>
      </c>
      <c r="H155">
        <v>0</v>
      </c>
    </row>
    <row r="156" spans="1:8" x14ac:dyDescent="0.2">
      <c r="A156" t="s">
        <v>183</v>
      </c>
      <c r="B156" t="s">
        <v>9</v>
      </c>
      <c r="C156" t="s">
        <v>35</v>
      </c>
      <c r="D156" t="s">
        <v>29</v>
      </c>
      <c r="E156" t="s">
        <v>30</v>
      </c>
      <c r="F156">
        <v>0</v>
      </c>
      <c r="G156">
        <v>0</v>
      </c>
      <c r="H156">
        <v>0</v>
      </c>
    </row>
    <row r="157" spans="1:8" x14ac:dyDescent="0.2">
      <c r="A157" t="s">
        <v>183</v>
      </c>
      <c r="B157" t="s">
        <v>9</v>
      </c>
      <c r="C157" t="s">
        <v>36</v>
      </c>
      <c r="D157" t="s">
        <v>29</v>
      </c>
      <c r="E157" t="s">
        <v>30</v>
      </c>
      <c r="F157">
        <v>1</v>
      </c>
      <c r="G157">
        <v>0</v>
      </c>
      <c r="H157">
        <v>0</v>
      </c>
    </row>
    <row r="158" spans="1:8" x14ac:dyDescent="0.2">
      <c r="A158" t="s">
        <v>183</v>
      </c>
      <c r="B158" t="s">
        <v>9</v>
      </c>
      <c r="C158" t="s">
        <v>37</v>
      </c>
      <c r="D158" t="s">
        <v>38</v>
      </c>
      <c r="E158" t="s">
        <v>39</v>
      </c>
      <c r="F158">
        <v>3</v>
      </c>
      <c r="G158">
        <v>0</v>
      </c>
      <c r="H158">
        <v>0</v>
      </c>
    </row>
    <row r="159" spans="1:8" x14ac:dyDescent="0.2">
      <c r="A159" t="s">
        <v>183</v>
      </c>
      <c r="B159" t="s">
        <v>9</v>
      </c>
      <c r="C159" t="s">
        <v>40</v>
      </c>
      <c r="D159" t="s">
        <v>38</v>
      </c>
      <c r="E159" t="s">
        <v>39</v>
      </c>
      <c r="F159">
        <v>1</v>
      </c>
      <c r="G159">
        <v>0</v>
      </c>
      <c r="H159">
        <v>0</v>
      </c>
    </row>
    <row r="160" spans="1:8" x14ac:dyDescent="0.2">
      <c r="A160" t="s">
        <v>183</v>
      </c>
      <c r="B160" t="s">
        <v>9</v>
      </c>
      <c r="C160" t="s">
        <v>41</v>
      </c>
      <c r="D160" t="s">
        <v>38</v>
      </c>
      <c r="E160" t="s">
        <v>39</v>
      </c>
      <c r="F160">
        <v>0</v>
      </c>
      <c r="G160">
        <v>0</v>
      </c>
      <c r="H160">
        <v>0</v>
      </c>
    </row>
    <row r="161" spans="1:8" x14ac:dyDescent="0.2">
      <c r="A161" t="s">
        <v>183</v>
      </c>
      <c r="B161" t="s">
        <v>9</v>
      </c>
      <c r="C161" t="s">
        <v>42</v>
      </c>
      <c r="D161" t="s">
        <v>38</v>
      </c>
      <c r="E161" t="s">
        <v>39</v>
      </c>
      <c r="F161">
        <v>0</v>
      </c>
      <c r="G161">
        <v>0</v>
      </c>
      <c r="H161">
        <v>0</v>
      </c>
    </row>
    <row r="162" spans="1:8" x14ac:dyDescent="0.2">
      <c r="A162" t="s">
        <v>183</v>
      </c>
      <c r="B162" t="s">
        <v>9</v>
      </c>
      <c r="C162" t="s">
        <v>43</v>
      </c>
      <c r="D162" t="s">
        <v>38</v>
      </c>
      <c r="E162" t="s">
        <v>39</v>
      </c>
      <c r="F162">
        <v>0</v>
      </c>
      <c r="G162">
        <v>0</v>
      </c>
      <c r="H162">
        <v>0</v>
      </c>
    </row>
    <row r="163" spans="1:8" x14ac:dyDescent="0.2">
      <c r="A163" t="s">
        <v>183</v>
      </c>
      <c r="B163" t="s">
        <v>9</v>
      </c>
      <c r="C163" t="s">
        <v>44</v>
      </c>
      <c r="D163" t="s">
        <v>38</v>
      </c>
      <c r="E163" t="s">
        <v>39</v>
      </c>
      <c r="F163">
        <v>0</v>
      </c>
      <c r="G163">
        <v>0</v>
      </c>
      <c r="H163">
        <v>0</v>
      </c>
    </row>
    <row r="164" spans="1:8" x14ac:dyDescent="0.2">
      <c r="A164" t="s">
        <v>183</v>
      </c>
      <c r="B164" t="s">
        <v>9</v>
      </c>
      <c r="C164" t="s">
        <v>45</v>
      </c>
      <c r="D164" t="s">
        <v>38</v>
      </c>
      <c r="E164" t="s">
        <v>39</v>
      </c>
      <c r="F164">
        <v>0</v>
      </c>
      <c r="G164">
        <v>0</v>
      </c>
      <c r="H164">
        <v>0</v>
      </c>
    </row>
    <row r="165" spans="1:8" x14ac:dyDescent="0.2">
      <c r="A165" t="s">
        <v>183</v>
      </c>
      <c r="B165" t="s">
        <v>9</v>
      </c>
      <c r="C165" t="s">
        <v>46</v>
      </c>
      <c r="D165" t="s">
        <v>47</v>
      </c>
      <c r="E165" t="s">
        <v>48</v>
      </c>
      <c r="F165">
        <v>1</v>
      </c>
      <c r="G165">
        <v>0</v>
      </c>
      <c r="H165">
        <v>0</v>
      </c>
    </row>
    <row r="166" spans="1:8" x14ac:dyDescent="0.2">
      <c r="A166" t="s">
        <v>183</v>
      </c>
      <c r="B166" t="s">
        <v>9</v>
      </c>
      <c r="C166" t="s">
        <v>49</v>
      </c>
      <c r="D166" t="s">
        <v>47</v>
      </c>
      <c r="E166" t="s">
        <v>48</v>
      </c>
      <c r="F166">
        <v>0</v>
      </c>
      <c r="G166">
        <v>0</v>
      </c>
      <c r="H166">
        <v>0</v>
      </c>
    </row>
    <row r="167" spans="1:8" x14ac:dyDescent="0.2">
      <c r="A167" t="s">
        <v>183</v>
      </c>
      <c r="B167" t="s">
        <v>9</v>
      </c>
      <c r="C167" t="s">
        <v>50</v>
      </c>
      <c r="D167" t="s">
        <v>47</v>
      </c>
      <c r="E167" t="s">
        <v>48</v>
      </c>
      <c r="F167">
        <v>0</v>
      </c>
      <c r="G167">
        <v>0</v>
      </c>
      <c r="H167">
        <v>0</v>
      </c>
    </row>
    <row r="168" spans="1:8" x14ac:dyDescent="0.2">
      <c r="A168" t="s">
        <v>183</v>
      </c>
      <c r="B168" t="s">
        <v>9</v>
      </c>
      <c r="C168" t="s">
        <v>51</v>
      </c>
      <c r="D168" t="s">
        <v>47</v>
      </c>
      <c r="E168" t="s">
        <v>48</v>
      </c>
      <c r="F168">
        <v>0</v>
      </c>
      <c r="G168">
        <v>0</v>
      </c>
      <c r="H168">
        <v>0</v>
      </c>
    </row>
    <row r="169" spans="1:8" x14ac:dyDescent="0.2">
      <c r="A169" t="s">
        <v>183</v>
      </c>
      <c r="B169" t="s">
        <v>9</v>
      </c>
      <c r="C169" t="s">
        <v>52</v>
      </c>
      <c r="D169" t="s">
        <v>47</v>
      </c>
      <c r="E169" t="s">
        <v>48</v>
      </c>
      <c r="F169">
        <v>1</v>
      </c>
      <c r="G169">
        <v>0</v>
      </c>
      <c r="H169">
        <v>0</v>
      </c>
    </row>
    <row r="170" spans="1:8" x14ac:dyDescent="0.2">
      <c r="A170" t="s">
        <v>183</v>
      </c>
      <c r="B170" t="s">
        <v>9</v>
      </c>
      <c r="C170" t="s">
        <v>53</v>
      </c>
      <c r="D170" t="s">
        <v>47</v>
      </c>
      <c r="E170" t="s">
        <v>48</v>
      </c>
      <c r="F170">
        <v>0</v>
      </c>
      <c r="G170">
        <v>0</v>
      </c>
      <c r="H170">
        <v>0</v>
      </c>
    </row>
    <row r="171" spans="1:8" x14ac:dyDescent="0.2">
      <c r="A171" t="s">
        <v>183</v>
      </c>
      <c r="B171" t="s">
        <v>9</v>
      </c>
      <c r="C171" t="s">
        <v>54</v>
      </c>
      <c r="D171" t="s">
        <v>47</v>
      </c>
      <c r="E171" t="s">
        <v>48</v>
      </c>
      <c r="F171">
        <v>0</v>
      </c>
      <c r="G171">
        <v>0</v>
      </c>
      <c r="H171">
        <v>0</v>
      </c>
    </row>
    <row r="172" spans="1:8" x14ac:dyDescent="0.2">
      <c r="A172" t="s">
        <v>183</v>
      </c>
      <c r="B172" t="s">
        <v>9</v>
      </c>
      <c r="C172" t="s">
        <v>55</v>
      </c>
      <c r="D172" t="s">
        <v>56</v>
      </c>
      <c r="E172" t="s">
        <v>57</v>
      </c>
      <c r="F172">
        <v>0</v>
      </c>
      <c r="G172">
        <v>0</v>
      </c>
      <c r="H172">
        <v>0</v>
      </c>
    </row>
    <row r="173" spans="1:8" x14ac:dyDescent="0.2">
      <c r="A173" t="s">
        <v>183</v>
      </c>
      <c r="B173" t="s">
        <v>9</v>
      </c>
      <c r="C173" t="s">
        <v>58</v>
      </c>
      <c r="D173" t="s">
        <v>56</v>
      </c>
      <c r="E173" t="s">
        <v>57</v>
      </c>
      <c r="F173">
        <v>0</v>
      </c>
      <c r="G173">
        <v>0</v>
      </c>
      <c r="H173">
        <v>0</v>
      </c>
    </row>
    <row r="174" spans="1:8" x14ac:dyDescent="0.2">
      <c r="A174" t="s">
        <v>183</v>
      </c>
      <c r="B174" t="s">
        <v>9</v>
      </c>
      <c r="C174" t="s">
        <v>59</v>
      </c>
      <c r="D174" t="s">
        <v>56</v>
      </c>
      <c r="E174" t="s">
        <v>57</v>
      </c>
      <c r="F174">
        <v>1</v>
      </c>
      <c r="G174">
        <v>0</v>
      </c>
      <c r="H174">
        <v>0</v>
      </c>
    </row>
    <row r="175" spans="1:8" x14ac:dyDescent="0.2">
      <c r="A175" t="s">
        <v>183</v>
      </c>
      <c r="B175" t="s">
        <v>9</v>
      </c>
      <c r="C175" t="s">
        <v>60</v>
      </c>
      <c r="D175" t="s">
        <v>56</v>
      </c>
      <c r="E175" t="s">
        <v>57</v>
      </c>
      <c r="F175">
        <v>0</v>
      </c>
      <c r="G175">
        <v>0</v>
      </c>
      <c r="H175">
        <v>0</v>
      </c>
    </row>
    <row r="176" spans="1:8" x14ac:dyDescent="0.2">
      <c r="A176" t="s">
        <v>183</v>
      </c>
      <c r="B176" t="s">
        <v>9</v>
      </c>
      <c r="C176" t="s">
        <v>61</v>
      </c>
      <c r="D176" t="s">
        <v>56</v>
      </c>
      <c r="E176" t="s">
        <v>57</v>
      </c>
      <c r="F176">
        <v>0</v>
      </c>
      <c r="G176">
        <v>0</v>
      </c>
      <c r="H176">
        <v>0</v>
      </c>
    </row>
    <row r="177" spans="1:8" x14ac:dyDescent="0.2">
      <c r="A177" t="s">
        <v>183</v>
      </c>
      <c r="B177" t="s">
        <v>9</v>
      </c>
      <c r="C177" t="s">
        <v>62</v>
      </c>
      <c r="D177" t="s">
        <v>56</v>
      </c>
      <c r="E177" t="s">
        <v>57</v>
      </c>
      <c r="F177">
        <v>0</v>
      </c>
      <c r="G177">
        <v>0</v>
      </c>
      <c r="H177">
        <v>0</v>
      </c>
    </row>
    <row r="178" spans="1:8" x14ac:dyDescent="0.2">
      <c r="A178" t="s">
        <v>183</v>
      </c>
      <c r="B178" t="s">
        <v>9</v>
      </c>
      <c r="C178" t="s">
        <v>63</v>
      </c>
      <c r="D178" t="s">
        <v>56</v>
      </c>
      <c r="E178" t="s">
        <v>57</v>
      </c>
      <c r="F178">
        <v>0</v>
      </c>
      <c r="G178">
        <v>0</v>
      </c>
      <c r="H178">
        <v>0</v>
      </c>
    </row>
    <row r="179" spans="1:8" x14ac:dyDescent="0.2">
      <c r="A179" t="s">
        <v>183</v>
      </c>
      <c r="B179" t="s">
        <v>9</v>
      </c>
      <c r="C179" t="s">
        <v>64</v>
      </c>
      <c r="D179" t="s">
        <v>65</v>
      </c>
      <c r="E179" t="s">
        <v>66</v>
      </c>
      <c r="F179">
        <v>0</v>
      </c>
      <c r="G179">
        <v>0</v>
      </c>
      <c r="H179">
        <v>0</v>
      </c>
    </row>
    <row r="180" spans="1:8" x14ac:dyDescent="0.2">
      <c r="A180" t="s">
        <v>183</v>
      </c>
      <c r="B180" t="s">
        <v>9</v>
      </c>
      <c r="C180" t="s">
        <v>67</v>
      </c>
      <c r="D180" t="s">
        <v>65</v>
      </c>
      <c r="E180" t="s">
        <v>66</v>
      </c>
      <c r="F180">
        <v>1</v>
      </c>
      <c r="G180">
        <v>0</v>
      </c>
      <c r="H180">
        <v>0</v>
      </c>
    </row>
    <row r="181" spans="1:8" x14ac:dyDescent="0.2">
      <c r="A181" t="s">
        <v>183</v>
      </c>
      <c r="B181" t="s">
        <v>9</v>
      </c>
      <c r="C181" t="s">
        <v>68</v>
      </c>
      <c r="D181" t="s">
        <v>65</v>
      </c>
      <c r="E181" t="s">
        <v>66</v>
      </c>
      <c r="F181">
        <v>1</v>
      </c>
      <c r="G181">
        <v>0</v>
      </c>
      <c r="H181">
        <v>0</v>
      </c>
    </row>
    <row r="182" spans="1:8" x14ac:dyDescent="0.2">
      <c r="A182" t="s">
        <v>183</v>
      </c>
      <c r="B182" t="s">
        <v>9</v>
      </c>
      <c r="C182" t="s">
        <v>69</v>
      </c>
      <c r="D182" t="s">
        <v>65</v>
      </c>
      <c r="E182" t="s">
        <v>66</v>
      </c>
      <c r="F182">
        <v>0</v>
      </c>
      <c r="G182">
        <v>0</v>
      </c>
      <c r="H182">
        <v>0</v>
      </c>
    </row>
    <row r="183" spans="1:8" x14ac:dyDescent="0.2">
      <c r="A183" t="s">
        <v>183</v>
      </c>
      <c r="B183" t="s">
        <v>9</v>
      </c>
      <c r="C183" t="s">
        <v>70</v>
      </c>
      <c r="D183" t="s">
        <v>65</v>
      </c>
      <c r="E183" t="s">
        <v>66</v>
      </c>
      <c r="F183">
        <v>1</v>
      </c>
      <c r="G183">
        <v>0</v>
      </c>
      <c r="H183">
        <v>0</v>
      </c>
    </row>
    <row r="184" spans="1:8" x14ac:dyDescent="0.2">
      <c r="A184" t="s">
        <v>183</v>
      </c>
      <c r="B184" t="s">
        <v>9</v>
      </c>
      <c r="C184" t="s">
        <v>71</v>
      </c>
      <c r="D184" t="s">
        <v>65</v>
      </c>
      <c r="E184" t="s">
        <v>66</v>
      </c>
      <c r="F184">
        <v>0</v>
      </c>
      <c r="G184">
        <v>0</v>
      </c>
      <c r="H184">
        <v>0</v>
      </c>
    </row>
    <row r="185" spans="1:8" x14ac:dyDescent="0.2">
      <c r="A185" t="s">
        <v>183</v>
      </c>
      <c r="B185" t="s">
        <v>9</v>
      </c>
      <c r="C185" t="s">
        <v>72</v>
      </c>
      <c r="D185" t="s">
        <v>65</v>
      </c>
      <c r="E185" t="s">
        <v>66</v>
      </c>
      <c r="F185">
        <v>0</v>
      </c>
      <c r="G185">
        <v>0</v>
      </c>
      <c r="H185">
        <v>0</v>
      </c>
    </row>
    <row r="186" spans="1:8" x14ac:dyDescent="0.2">
      <c r="A186" t="s">
        <v>183</v>
      </c>
      <c r="B186" t="s">
        <v>9</v>
      </c>
      <c r="C186" t="s">
        <v>73</v>
      </c>
      <c r="D186" t="s">
        <v>74</v>
      </c>
      <c r="E186" t="s">
        <v>75</v>
      </c>
      <c r="F186">
        <v>0</v>
      </c>
      <c r="G186">
        <v>0</v>
      </c>
      <c r="H186">
        <v>0</v>
      </c>
    </row>
    <row r="187" spans="1:8" x14ac:dyDescent="0.2">
      <c r="A187" t="s">
        <v>183</v>
      </c>
      <c r="B187" t="s">
        <v>9</v>
      </c>
      <c r="C187" t="s">
        <v>76</v>
      </c>
      <c r="D187" t="s">
        <v>74</v>
      </c>
      <c r="E187" t="s">
        <v>75</v>
      </c>
      <c r="F187">
        <v>1</v>
      </c>
      <c r="G187">
        <v>0</v>
      </c>
      <c r="H187">
        <v>0</v>
      </c>
    </row>
    <row r="188" spans="1:8" x14ac:dyDescent="0.2">
      <c r="A188" t="s">
        <v>183</v>
      </c>
      <c r="B188" t="s">
        <v>9</v>
      </c>
      <c r="C188" t="s">
        <v>77</v>
      </c>
      <c r="D188" t="s">
        <v>74</v>
      </c>
      <c r="E188" t="s">
        <v>75</v>
      </c>
      <c r="F188">
        <v>1</v>
      </c>
      <c r="G188">
        <v>0</v>
      </c>
      <c r="H188">
        <v>0</v>
      </c>
    </row>
    <row r="189" spans="1:8" x14ac:dyDescent="0.2">
      <c r="A189" t="s">
        <v>183</v>
      </c>
      <c r="B189" t="s">
        <v>9</v>
      </c>
      <c r="C189" t="s">
        <v>78</v>
      </c>
      <c r="D189" t="s">
        <v>74</v>
      </c>
      <c r="E189" t="s">
        <v>75</v>
      </c>
      <c r="F189">
        <v>0</v>
      </c>
      <c r="G189">
        <v>0</v>
      </c>
      <c r="H189">
        <v>0</v>
      </c>
    </row>
    <row r="190" spans="1:8" x14ac:dyDescent="0.2">
      <c r="A190" t="s">
        <v>183</v>
      </c>
      <c r="B190" t="s">
        <v>9</v>
      </c>
      <c r="C190" t="s">
        <v>79</v>
      </c>
      <c r="D190" t="s">
        <v>74</v>
      </c>
      <c r="E190" t="s">
        <v>75</v>
      </c>
      <c r="F190">
        <v>0</v>
      </c>
      <c r="G190">
        <v>0</v>
      </c>
      <c r="H190">
        <v>0</v>
      </c>
    </row>
    <row r="191" spans="1:8" x14ac:dyDescent="0.2">
      <c r="A191" t="s">
        <v>183</v>
      </c>
      <c r="B191" t="s">
        <v>9</v>
      </c>
      <c r="C191" t="s">
        <v>80</v>
      </c>
      <c r="D191" t="s">
        <v>74</v>
      </c>
      <c r="E191" t="s">
        <v>75</v>
      </c>
      <c r="F191">
        <v>0</v>
      </c>
      <c r="G191">
        <v>0</v>
      </c>
      <c r="H191">
        <v>0</v>
      </c>
    </row>
    <row r="192" spans="1:8" x14ac:dyDescent="0.2">
      <c r="A192" t="s">
        <v>183</v>
      </c>
      <c r="B192" t="s">
        <v>9</v>
      </c>
      <c r="C192" t="s">
        <v>81</v>
      </c>
      <c r="D192" t="s">
        <v>74</v>
      </c>
      <c r="E192" t="s">
        <v>75</v>
      </c>
      <c r="F192">
        <v>0</v>
      </c>
      <c r="G192">
        <v>0</v>
      </c>
      <c r="H192">
        <v>0</v>
      </c>
    </row>
    <row r="193" spans="1:8" x14ac:dyDescent="0.2">
      <c r="A193" t="s">
        <v>183</v>
      </c>
      <c r="B193" t="s">
        <v>9</v>
      </c>
      <c r="C193" t="s">
        <v>82</v>
      </c>
      <c r="D193" t="s">
        <v>83</v>
      </c>
      <c r="E193" t="s">
        <v>84</v>
      </c>
      <c r="F193">
        <v>0</v>
      </c>
      <c r="G193">
        <v>0</v>
      </c>
      <c r="H193">
        <v>0</v>
      </c>
    </row>
    <row r="194" spans="1:8" x14ac:dyDescent="0.2">
      <c r="A194" t="s">
        <v>183</v>
      </c>
      <c r="B194" t="s">
        <v>9</v>
      </c>
      <c r="C194" t="s">
        <v>85</v>
      </c>
      <c r="D194" t="s">
        <v>83</v>
      </c>
      <c r="E194" t="s">
        <v>84</v>
      </c>
      <c r="F194">
        <v>1</v>
      </c>
      <c r="G194">
        <v>0</v>
      </c>
      <c r="H194">
        <v>0</v>
      </c>
    </row>
    <row r="195" spans="1:8" x14ac:dyDescent="0.2">
      <c r="A195" t="s">
        <v>183</v>
      </c>
      <c r="B195" t="s">
        <v>9</v>
      </c>
      <c r="C195" t="s">
        <v>86</v>
      </c>
      <c r="D195" t="s">
        <v>83</v>
      </c>
      <c r="E195" t="s">
        <v>84</v>
      </c>
      <c r="F195">
        <v>0</v>
      </c>
      <c r="G195">
        <v>0</v>
      </c>
      <c r="H195">
        <v>0</v>
      </c>
    </row>
    <row r="196" spans="1:8" x14ac:dyDescent="0.2">
      <c r="A196" t="s">
        <v>183</v>
      </c>
      <c r="B196" t="s">
        <v>9</v>
      </c>
      <c r="C196" t="s">
        <v>87</v>
      </c>
      <c r="D196" t="s">
        <v>83</v>
      </c>
      <c r="E196" t="s">
        <v>84</v>
      </c>
      <c r="F196">
        <v>0</v>
      </c>
      <c r="G196">
        <v>0</v>
      </c>
      <c r="H196">
        <v>0</v>
      </c>
    </row>
    <row r="197" spans="1:8" x14ac:dyDescent="0.2">
      <c r="A197" t="s">
        <v>183</v>
      </c>
      <c r="B197" t="s">
        <v>9</v>
      </c>
      <c r="C197" t="s">
        <v>88</v>
      </c>
      <c r="D197" t="s">
        <v>83</v>
      </c>
      <c r="E197" t="s">
        <v>84</v>
      </c>
      <c r="F197">
        <v>0</v>
      </c>
      <c r="G197">
        <v>0</v>
      </c>
      <c r="H197">
        <v>0</v>
      </c>
    </row>
    <row r="198" spans="1:8" x14ac:dyDescent="0.2">
      <c r="A198" t="s">
        <v>183</v>
      </c>
      <c r="B198" t="s">
        <v>9</v>
      </c>
      <c r="C198" t="s">
        <v>89</v>
      </c>
      <c r="D198" t="s">
        <v>83</v>
      </c>
      <c r="E198" t="s">
        <v>84</v>
      </c>
      <c r="F198">
        <v>0</v>
      </c>
      <c r="G198">
        <v>0</v>
      </c>
      <c r="H198">
        <v>0</v>
      </c>
    </row>
    <row r="199" spans="1:8" x14ac:dyDescent="0.2">
      <c r="A199" t="s">
        <v>183</v>
      </c>
      <c r="B199" t="s">
        <v>9</v>
      </c>
      <c r="C199" t="s">
        <v>90</v>
      </c>
      <c r="D199" t="s">
        <v>83</v>
      </c>
      <c r="E199" t="s">
        <v>84</v>
      </c>
      <c r="F199">
        <v>0</v>
      </c>
      <c r="G199">
        <v>0</v>
      </c>
      <c r="H199">
        <v>0</v>
      </c>
    </row>
    <row r="200" spans="1:8" x14ac:dyDescent="0.2">
      <c r="A200" t="s">
        <v>183</v>
      </c>
      <c r="B200" t="s">
        <v>9</v>
      </c>
      <c r="C200" t="s">
        <v>91</v>
      </c>
      <c r="D200" t="s">
        <v>92</v>
      </c>
      <c r="E200" t="s">
        <v>93</v>
      </c>
      <c r="F200">
        <v>1</v>
      </c>
      <c r="G200">
        <v>0</v>
      </c>
      <c r="H200">
        <v>0</v>
      </c>
    </row>
    <row r="201" spans="1:8" x14ac:dyDescent="0.2">
      <c r="A201" t="s">
        <v>183</v>
      </c>
      <c r="B201" t="s">
        <v>9</v>
      </c>
      <c r="C201" t="s">
        <v>94</v>
      </c>
      <c r="D201" t="s">
        <v>92</v>
      </c>
      <c r="E201" t="s">
        <v>93</v>
      </c>
      <c r="F201">
        <v>0</v>
      </c>
      <c r="G201">
        <v>0</v>
      </c>
      <c r="H201">
        <v>0</v>
      </c>
    </row>
    <row r="202" spans="1:8" x14ac:dyDescent="0.2">
      <c r="A202" t="s">
        <v>183</v>
      </c>
      <c r="B202" t="s">
        <v>9</v>
      </c>
      <c r="C202" t="s">
        <v>95</v>
      </c>
      <c r="D202" t="s">
        <v>92</v>
      </c>
      <c r="E202" t="s">
        <v>93</v>
      </c>
      <c r="F202">
        <v>3</v>
      </c>
      <c r="G202">
        <v>0</v>
      </c>
      <c r="H202">
        <v>0</v>
      </c>
    </row>
    <row r="203" spans="1:8" x14ac:dyDescent="0.2">
      <c r="A203" t="s">
        <v>183</v>
      </c>
      <c r="B203" t="s">
        <v>9</v>
      </c>
      <c r="C203" t="s">
        <v>96</v>
      </c>
      <c r="D203" t="s">
        <v>92</v>
      </c>
      <c r="E203" t="s">
        <v>93</v>
      </c>
      <c r="F203">
        <v>0</v>
      </c>
      <c r="G203">
        <v>0</v>
      </c>
      <c r="H203">
        <v>0</v>
      </c>
    </row>
    <row r="204" spans="1:8" x14ac:dyDescent="0.2">
      <c r="A204" t="s">
        <v>183</v>
      </c>
      <c r="B204" t="s">
        <v>9</v>
      </c>
      <c r="C204" t="s">
        <v>97</v>
      </c>
      <c r="D204" t="s">
        <v>92</v>
      </c>
      <c r="E204" t="s">
        <v>93</v>
      </c>
      <c r="F204">
        <v>0</v>
      </c>
      <c r="G204">
        <v>0</v>
      </c>
      <c r="H204">
        <v>0</v>
      </c>
    </row>
    <row r="205" spans="1:8" x14ac:dyDescent="0.2">
      <c r="A205" t="s">
        <v>183</v>
      </c>
      <c r="B205" t="s">
        <v>9</v>
      </c>
      <c r="C205" t="s">
        <v>98</v>
      </c>
      <c r="D205" t="s">
        <v>92</v>
      </c>
      <c r="E205" t="s">
        <v>93</v>
      </c>
      <c r="F205">
        <v>0</v>
      </c>
      <c r="G205">
        <v>0</v>
      </c>
      <c r="H205">
        <v>0</v>
      </c>
    </row>
    <row r="206" spans="1:8" x14ac:dyDescent="0.2">
      <c r="A206" t="s">
        <v>183</v>
      </c>
      <c r="B206" t="s">
        <v>9</v>
      </c>
      <c r="C206" t="s">
        <v>99</v>
      </c>
      <c r="D206" t="s">
        <v>92</v>
      </c>
      <c r="E206" t="s">
        <v>93</v>
      </c>
      <c r="F206">
        <v>0</v>
      </c>
      <c r="G206">
        <v>0</v>
      </c>
      <c r="H206">
        <v>0</v>
      </c>
    </row>
    <row r="207" spans="1:8" x14ac:dyDescent="0.2">
      <c r="A207" t="s">
        <v>183</v>
      </c>
      <c r="B207" t="s">
        <v>9</v>
      </c>
      <c r="C207" t="s">
        <v>100</v>
      </c>
      <c r="D207" t="s">
        <v>101</v>
      </c>
      <c r="E207" t="s">
        <v>102</v>
      </c>
      <c r="F207">
        <v>0</v>
      </c>
      <c r="G207">
        <v>0</v>
      </c>
      <c r="H207">
        <v>0</v>
      </c>
    </row>
    <row r="208" spans="1:8" x14ac:dyDescent="0.2">
      <c r="A208" t="s">
        <v>183</v>
      </c>
      <c r="B208" t="s">
        <v>9</v>
      </c>
      <c r="C208" t="s">
        <v>103</v>
      </c>
      <c r="D208" t="s">
        <v>101</v>
      </c>
      <c r="E208" t="s">
        <v>102</v>
      </c>
      <c r="F208">
        <v>1</v>
      </c>
      <c r="G208">
        <v>0</v>
      </c>
      <c r="H208">
        <v>0</v>
      </c>
    </row>
    <row r="209" spans="1:8" x14ac:dyDescent="0.2">
      <c r="A209" t="s">
        <v>183</v>
      </c>
      <c r="B209" t="s">
        <v>9</v>
      </c>
      <c r="C209" t="s">
        <v>104</v>
      </c>
      <c r="D209" t="s">
        <v>101</v>
      </c>
      <c r="E209" t="s">
        <v>102</v>
      </c>
      <c r="F209">
        <v>1</v>
      </c>
      <c r="G209">
        <v>0</v>
      </c>
      <c r="H209">
        <v>0</v>
      </c>
    </row>
    <row r="210" spans="1:8" x14ac:dyDescent="0.2">
      <c r="A210" t="s">
        <v>183</v>
      </c>
      <c r="B210" t="s">
        <v>9</v>
      </c>
      <c r="C210" t="s">
        <v>105</v>
      </c>
      <c r="D210" t="s">
        <v>101</v>
      </c>
      <c r="E210" t="s">
        <v>102</v>
      </c>
      <c r="F210">
        <v>0</v>
      </c>
      <c r="G210">
        <v>0</v>
      </c>
      <c r="H210">
        <v>0</v>
      </c>
    </row>
    <row r="211" spans="1:8" x14ac:dyDescent="0.2">
      <c r="A211" t="s">
        <v>183</v>
      </c>
      <c r="B211" t="s">
        <v>9</v>
      </c>
      <c r="C211" t="s">
        <v>106</v>
      </c>
      <c r="D211" t="s">
        <v>101</v>
      </c>
      <c r="E211" t="s">
        <v>102</v>
      </c>
      <c r="F211">
        <v>0</v>
      </c>
      <c r="G211">
        <v>0</v>
      </c>
      <c r="H211">
        <v>0</v>
      </c>
    </row>
    <row r="212" spans="1:8" x14ac:dyDescent="0.2">
      <c r="A212" t="s">
        <v>183</v>
      </c>
      <c r="B212" t="s">
        <v>9</v>
      </c>
      <c r="C212" t="s">
        <v>107</v>
      </c>
      <c r="D212" t="s">
        <v>101</v>
      </c>
      <c r="E212" t="s">
        <v>102</v>
      </c>
      <c r="F212">
        <v>1</v>
      </c>
      <c r="G212">
        <v>0</v>
      </c>
      <c r="H212">
        <v>0</v>
      </c>
    </row>
    <row r="213" spans="1:8" x14ac:dyDescent="0.2">
      <c r="A213" t="s">
        <v>183</v>
      </c>
      <c r="B213" t="s">
        <v>9</v>
      </c>
      <c r="C213" t="s">
        <v>108</v>
      </c>
      <c r="D213" t="s">
        <v>101</v>
      </c>
      <c r="E213" t="s">
        <v>102</v>
      </c>
      <c r="F213">
        <v>0</v>
      </c>
      <c r="G213">
        <v>0</v>
      </c>
      <c r="H213">
        <v>0</v>
      </c>
    </row>
    <row r="214" spans="1:8" x14ac:dyDescent="0.2">
      <c r="A214" t="s">
        <v>183</v>
      </c>
      <c r="B214" t="s">
        <v>9</v>
      </c>
      <c r="C214" t="s">
        <v>109</v>
      </c>
      <c r="F214">
        <v>0</v>
      </c>
      <c r="G214">
        <v>0</v>
      </c>
      <c r="H214">
        <v>0</v>
      </c>
    </row>
    <row r="215" spans="1:8" x14ac:dyDescent="0.2">
      <c r="A215" t="s">
        <v>183</v>
      </c>
      <c r="B215" t="s">
        <v>9</v>
      </c>
      <c r="C215" t="s">
        <v>110</v>
      </c>
      <c r="F215">
        <v>0</v>
      </c>
      <c r="G215">
        <v>0</v>
      </c>
      <c r="H215">
        <v>0</v>
      </c>
    </row>
    <row r="216" spans="1:8" x14ac:dyDescent="0.2">
      <c r="A216" t="s">
        <v>183</v>
      </c>
      <c r="B216" t="s">
        <v>9</v>
      </c>
      <c r="C216" t="s">
        <v>111</v>
      </c>
      <c r="F216">
        <v>0</v>
      </c>
      <c r="G216">
        <v>0</v>
      </c>
      <c r="H216">
        <v>0</v>
      </c>
    </row>
    <row r="217" spans="1:8" x14ac:dyDescent="0.2">
      <c r="A217" t="s">
        <v>183</v>
      </c>
      <c r="B217" t="s">
        <v>9</v>
      </c>
      <c r="C217" t="s">
        <v>112</v>
      </c>
      <c r="D217" t="s">
        <v>113</v>
      </c>
      <c r="E217" t="s">
        <v>114</v>
      </c>
      <c r="F217">
        <v>1</v>
      </c>
      <c r="G217">
        <v>0</v>
      </c>
      <c r="H217">
        <v>0</v>
      </c>
    </row>
    <row r="218" spans="1:8" x14ac:dyDescent="0.2">
      <c r="A218" t="s">
        <v>183</v>
      </c>
      <c r="B218" t="s">
        <v>9</v>
      </c>
      <c r="C218" t="s">
        <v>115</v>
      </c>
      <c r="D218" t="s">
        <v>113</v>
      </c>
      <c r="E218" t="s">
        <v>114</v>
      </c>
      <c r="F218">
        <v>3</v>
      </c>
      <c r="G218">
        <v>0</v>
      </c>
      <c r="H218">
        <v>0</v>
      </c>
    </row>
    <row r="219" spans="1:8" x14ac:dyDescent="0.2">
      <c r="A219" t="s">
        <v>183</v>
      </c>
      <c r="B219" t="s">
        <v>9</v>
      </c>
      <c r="C219" t="s">
        <v>116</v>
      </c>
      <c r="D219" t="s">
        <v>113</v>
      </c>
      <c r="E219" t="s">
        <v>114</v>
      </c>
      <c r="F219">
        <v>1</v>
      </c>
      <c r="G219">
        <v>0</v>
      </c>
      <c r="H219">
        <v>0</v>
      </c>
    </row>
    <row r="220" spans="1:8" x14ac:dyDescent="0.2">
      <c r="A220" t="s">
        <v>183</v>
      </c>
      <c r="B220" t="s">
        <v>9</v>
      </c>
      <c r="C220" t="s">
        <v>117</v>
      </c>
      <c r="D220" t="s">
        <v>113</v>
      </c>
      <c r="E220" t="s">
        <v>114</v>
      </c>
      <c r="F220">
        <v>0</v>
      </c>
      <c r="G220">
        <v>0</v>
      </c>
      <c r="H220">
        <v>0</v>
      </c>
    </row>
    <row r="221" spans="1:8" x14ac:dyDescent="0.2">
      <c r="A221" t="s">
        <v>183</v>
      </c>
      <c r="B221" t="s">
        <v>9</v>
      </c>
      <c r="C221" t="s">
        <v>118</v>
      </c>
      <c r="D221" t="s">
        <v>113</v>
      </c>
      <c r="E221" t="s">
        <v>114</v>
      </c>
      <c r="F221">
        <v>1</v>
      </c>
      <c r="G221">
        <v>0</v>
      </c>
      <c r="H221">
        <v>0</v>
      </c>
    </row>
    <row r="222" spans="1:8" x14ac:dyDescent="0.2">
      <c r="A222" t="s">
        <v>183</v>
      </c>
      <c r="B222" t="s">
        <v>9</v>
      </c>
      <c r="C222" t="s">
        <v>119</v>
      </c>
      <c r="D222" t="s">
        <v>113</v>
      </c>
      <c r="E222" t="s">
        <v>114</v>
      </c>
      <c r="F222">
        <v>1</v>
      </c>
      <c r="G222">
        <v>0</v>
      </c>
      <c r="H222">
        <v>0</v>
      </c>
    </row>
    <row r="223" spans="1:8" x14ac:dyDescent="0.2">
      <c r="A223" t="s">
        <v>183</v>
      </c>
      <c r="B223" t="s">
        <v>9</v>
      </c>
      <c r="C223" t="s">
        <v>120</v>
      </c>
      <c r="D223" t="s">
        <v>113</v>
      </c>
      <c r="E223" t="s">
        <v>114</v>
      </c>
      <c r="F223">
        <v>3</v>
      </c>
      <c r="G223">
        <v>0</v>
      </c>
      <c r="H223">
        <v>0</v>
      </c>
    </row>
    <row r="224" spans="1:8" x14ac:dyDescent="0.2">
      <c r="A224" t="s">
        <v>183</v>
      </c>
      <c r="B224" t="s">
        <v>9</v>
      </c>
      <c r="C224" t="s">
        <v>121</v>
      </c>
      <c r="D224" t="s">
        <v>113</v>
      </c>
      <c r="E224" t="s">
        <v>114</v>
      </c>
      <c r="F224">
        <v>1</v>
      </c>
      <c r="G224">
        <v>0</v>
      </c>
      <c r="H224">
        <v>0</v>
      </c>
    </row>
    <row r="225" spans="1:8" x14ac:dyDescent="0.2">
      <c r="A225" t="s">
        <v>183</v>
      </c>
      <c r="B225" t="s">
        <v>9</v>
      </c>
      <c r="C225" t="s">
        <v>122</v>
      </c>
      <c r="D225" t="s">
        <v>113</v>
      </c>
      <c r="E225" t="s">
        <v>114</v>
      </c>
      <c r="F225">
        <v>3</v>
      </c>
      <c r="G225">
        <v>0</v>
      </c>
      <c r="H225">
        <v>0</v>
      </c>
    </row>
    <row r="226" spans="1:8" x14ac:dyDescent="0.2">
      <c r="A226" t="s">
        <v>183</v>
      </c>
      <c r="B226" t="s">
        <v>9</v>
      </c>
      <c r="C226" t="s">
        <v>123</v>
      </c>
      <c r="D226" t="s">
        <v>113</v>
      </c>
      <c r="E226" t="s">
        <v>114</v>
      </c>
      <c r="F226">
        <v>0</v>
      </c>
      <c r="G226">
        <v>0</v>
      </c>
      <c r="H226">
        <v>0</v>
      </c>
    </row>
    <row r="227" spans="1:8" x14ac:dyDescent="0.2">
      <c r="A227" t="s">
        <v>183</v>
      </c>
      <c r="B227" t="s">
        <v>9</v>
      </c>
      <c r="C227" t="s">
        <v>124</v>
      </c>
      <c r="D227" t="s">
        <v>113</v>
      </c>
      <c r="E227" t="s">
        <v>114</v>
      </c>
      <c r="F227">
        <v>0</v>
      </c>
      <c r="G227">
        <v>0</v>
      </c>
      <c r="H227">
        <v>0</v>
      </c>
    </row>
    <row r="228" spans="1:8" x14ac:dyDescent="0.2">
      <c r="A228" t="s">
        <v>183</v>
      </c>
      <c r="B228" t="s">
        <v>9</v>
      </c>
      <c r="C228" t="s">
        <v>125</v>
      </c>
      <c r="D228" t="s">
        <v>126</v>
      </c>
      <c r="E228" t="s">
        <v>127</v>
      </c>
      <c r="F228">
        <v>0</v>
      </c>
      <c r="G228">
        <v>0</v>
      </c>
      <c r="H228">
        <v>0</v>
      </c>
    </row>
    <row r="229" spans="1:8" x14ac:dyDescent="0.2">
      <c r="A229" t="s">
        <v>183</v>
      </c>
      <c r="B229" t="s">
        <v>9</v>
      </c>
      <c r="C229" t="s">
        <v>128</v>
      </c>
      <c r="D229" t="s">
        <v>126</v>
      </c>
      <c r="E229" t="s">
        <v>127</v>
      </c>
      <c r="F229">
        <v>0</v>
      </c>
      <c r="G229">
        <v>0</v>
      </c>
      <c r="H229">
        <v>0</v>
      </c>
    </row>
    <row r="230" spans="1:8" x14ac:dyDescent="0.2">
      <c r="A230" t="s">
        <v>183</v>
      </c>
      <c r="B230" t="s">
        <v>9</v>
      </c>
      <c r="C230" t="s">
        <v>129</v>
      </c>
      <c r="D230" t="s">
        <v>126</v>
      </c>
      <c r="E230" t="s">
        <v>127</v>
      </c>
      <c r="F230">
        <v>0</v>
      </c>
      <c r="G230">
        <v>0</v>
      </c>
      <c r="H230">
        <v>0</v>
      </c>
    </row>
    <row r="231" spans="1:8" x14ac:dyDescent="0.2">
      <c r="A231" t="s">
        <v>183</v>
      </c>
      <c r="B231" t="s">
        <v>9</v>
      </c>
      <c r="C231" t="s">
        <v>130</v>
      </c>
      <c r="D231" t="s">
        <v>126</v>
      </c>
      <c r="E231" t="s">
        <v>127</v>
      </c>
      <c r="F231">
        <v>0</v>
      </c>
      <c r="G231">
        <v>0</v>
      </c>
      <c r="H231">
        <v>0</v>
      </c>
    </row>
    <row r="232" spans="1:8" x14ac:dyDescent="0.2">
      <c r="A232" t="s">
        <v>183</v>
      </c>
      <c r="B232" t="s">
        <v>9</v>
      </c>
      <c r="C232" t="s">
        <v>131</v>
      </c>
      <c r="D232" t="s">
        <v>126</v>
      </c>
      <c r="E232" t="s">
        <v>127</v>
      </c>
      <c r="F232">
        <v>0</v>
      </c>
      <c r="G232">
        <v>0</v>
      </c>
      <c r="H232">
        <v>0</v>
      </c>
    </row>
    <row r="233" spans="1:8" x14ac:dyDescent="0.2">
      <c r="A233" t="s">
        <v>183</v>
      </c>
      <c r="B233" t="s">
        <v>9</v>
      </c>
      <c r="C233" t="s">
        <v>132</v>
      </c>
      <c r="D233" t="s">
        <v>126</v>
      </c>
      <c r="E233" t="s">
        <v>127</v>
      </c>
      <c r="F233">
        <v>0</v>
      </c>
      <c r="G233">
        <v>0</v>
      </c>
      <c r="H233">
        <v>0</v>
      </c>
    </row>
    <row r="234" spans="1:8" x14ac:dyDescent="0.2">
      <c r="A234" t="s">
        <v>183</v>
      </c>
      <c r="B234" t="s">
        <v>9</v>
      </c>
      <c r="C234" t="s">
        <v>133</v>
      </c>
      <c r="D234" t="s">
        <v>126</v>
      </c>
      <c r="E234" t="s">
        <v>127</v>
      </c>
      <c r="F234">
        <v>0</v>
      </c>
      <c r="G234">
        <v>0</v>
      </c>
      <c r="H234">
        <v>0</v>
      </c>
    </row>
    <row r="235" spans="1:8" x14ac:dyDescent="0.2">
      <c r="A235" t="s">
        <v>183</v>
      </c>
      <c r="B235" t="s">
        <v>9</v>
      </c>
      <c r="C235" t="s">
        <v>134</v>
      </c>
      <c r="D235" t="s">
        <v>135</v>
      </c>
      <c r="E235" t="s">
        <v>136</v>
      </c>
      <c r="F235">
        <v>0</v>
      </c>
      <c r="G235">
        <v>0</v>
      </c>
      <c r="H235">
        <v>0</v>
      </c>
    </row>
    <row r="236" spans="1:8" x14ac:dyDescent="0.2">
      <c r="A236" t="s">
        <v>183</v>
      </c>
      <c r="B236" t="s">
        <v>9</v>
      </c>
      <c r="C236" t="s">
        <v>137</v>
      </c>
      <c r="D236" t="s">
        <v>135</v>
      </c>
      <c r="E236" t="s">
        <v>136</v>
      </c>
      <c r="F236">
        <v>0</v>
      </c>
      <c r="G236">
        <v>0</v>
      </c>
      <c r="H236">
        <v>0</v>
      </c>
    </row>
    <row r="237" spans="1:8" x14ac:dyDescent="0.2">
      <c r="A237" t="s">
        <v>183</v>
      </c>
      <c r="B237" t="s">
        <v>9</v>
      </c>
      <c r="C237" t="s">
        <v>138</v>
      </c>
      <c r="D237" t="s">
        <v>135</v>
      </c>
      <c r="E237" t="s">
        <v>136</v>
      </c>
      <c r="F237">
        <v>0</v>
      </c>
      <c r="G237">
        <v>0</v>
      </c>
      <c r="H237">
        <v>0</v>
      </c>
    </row>
    <row r="238" spans="1:8" x14ac:dyDescent="0.2">
      <c r="A238" t="s">
        <v>183</v>
      </c>
      <c r="B238" t="s">
        <v>9</v>
      </c>
      <c r="C238" t="s">
        <v>139</v>
      </c>
      <c r="D238" t="s">
        <v>135</v>
      </c>
      <c r="E238" t="s">
        <v>136</v>
      </c>
      <c r="F238">
        <v>0</v>
      </c>
      <c r="G238">
        <v>0</v>
      </c>
      <c r="H238">
        <v>0</v>
      </c>
    </row>
    <row r="239" spans="1:8" x14ac:dyDescent="0.2">
      <c r="A239" t="s">
        <v>183</v>
      </c>
      <c r="B239" t="s">
        <v>9</v>
      </c>
      <c r="C239" t="s">
        <v>140</v>
      </c>
      <c r="D239" t="s">
        <v>135</v>
      </c>
      <c r="E239" t="s">
        <v>136</v>
      </c>
      <c r="F239">
        <v>1</v>
      </c>
      <c r="G239">
        <v>0</v>
      </c>
      <c r="H239">
        <v>0</v>
      </c>
    </row>
    <row r="240" spans="1:8" x14ac:dyDescent="0.2">
      <c r="A240" t="s">
        <v>183</v>
      </c>
      <c r="B240" t="s">
        <v>9</v>
      </c>
      <c r="C240" t="s">
        <v>141</v>
      </c>
      <c r="D240" t="s">
        <v>135</v>
      </c>
      <c r="E240" t="s">
        <v>136</v>
      </c>
      <c r="F240">
        <v>1</v>
      </c>
      <c r="G240">
        <v>0</v>
      </c>
      <c r="H240">
        <v>0</v>
      </c>
    </row>
    <row r="241" spans="1:8" x14ac:dyDescent="0.2">
      <c r="A241" t="s">
        <v>183</v>
      </c>
      <c r="B241" t="s">
        <v>9</v>
      </c>
      <c r="C241" t="s">
        <v>142</v>
      </c>
      <c r="D241" t="s">
        <v>135</v>
      </c>
      <c r="E241" t="s">
        <v>136</v>
      </c>
      <c r="F241">
        <v>0</v>
      </c>
      <c r="G241">
        <v>0</v>
      </c>
      <c r="H241">
        <v>0</v>
      </c>
    </row>
    <row r="242" spans="1:8" x14ac:dyDescent="0.2">
      <c r="A242" t="s">
        <v>183</v>
      </c>
      <c r="B242" t="s">
        <v>9</v>
      </c>
      <c r="C242" t="s">
        <v>143</v>
      </c>
      <c r="D242" t="s">
        <v>144</v>
      </c>
      <c r="E242" t="s">
        <v>145</v>
      </c>
      <c r="F242">
        <v>0</v>
      </c>
      <c r="G242">
        <v>0</v>
      </c>
      <c r="H242">
        <v>0</v>
      </c>
    </row>
    <row r="243" spans="1:8" x14ac:dyDescent="0.2">
      <c r="A243" t="s">
        <v>183</v>
      </c>
      <c r="B243" t="s">
        <v>9</v>
      </c>
      <c r="C243" t="s">
        <v>146</v>
      </c>
      <c r="D243" t="s">
        <v>144</v>
      </c>
      <c r="E243" t="s">
        <v>145</v>
      </c>
      <c r="F243">
        <v>0</v>
      </c>
      <c r="G243">
        <v>0</v>
      </c>
      <c r="H243">
        <v>0</v>
      </c>
    </row>
    <row r="244" spans="1:8" x14ac:dyDescent="0.2">
      <c r="A244" t="s">
        <v>183</v>
      </c>
      <c r="B244" t="s">
        <v>9</v>
      </c>
      <c r="C244" t="s">
        <v>147</v>
      </c>
      <c r="D244" t="s">
        <v>144</v>
      </c>
      <c r="E244" t="s">
        <v>145</v>
      </c>
      <c r="F244">
        <v>0</v>
      </c>
      <c r="G244">
        <v>0</v>
      </c>
      <c r="H244">
        <v>0</v>
      </c>
    </row>
    <row r="245" spans="1:8" x14ac:dyDescent="0.2">
      <c r="A245" t="s">
        <v>183</v>
      </c>
      <c r="B245" t="s">
        <v>9</v>
      </c>
      <c r="C245" t="s">
        <v>148</v>
      </c>
      <c r="D245" t="s">
        <v>144</v>
      </c>
      <c r="E245" t="s">
        <v>145</v>
      </c>
      <c r="F245">
        <v>0</v>
      </c>
      <c r="G245">
        <v>0</v>
      </c>
      <c r="H245">
        <v>0</v>
      </c>
    </row>
    <row r="246" spans="1:8" x14ac:dyDescent="0.2">
      <c r="A246" t="s">
        <v>183</v>
      </c>
      <c r="B246" t="s">
        <v>9</v>
      </c>
      <c r="C246" t="s">
        <v>149</v>
      </c>
      <c r="D246" t="s">
        <v>144</v>
      </c>
      <c r="E246" t="s">
        <v>145</v>
      </c>
      <c r="F246">
        <v>0</v>
      </c>
      <c r="G246">
        <v>0</v>
      </c>
      <c r="H246">
        <v>0</v>
      </c>
    </row>
    <row r="247" spans="1:8" x14ac:dyDescent="0.2">
      <c r="A247" t="s">
        <v>183</v>
      </c>
      <c r="B247" t="s">
        <v>9</v>
      </c>
      <c r="C247" t="s">
        <v>150</v>
      </c>
      <c r="D247" t="s">
        <v>144</v>
      </c>
      <c r="E247" t="s">
        <v>145</v>
      </c>
      <c r="F247">
        <v>0</v>
      </c>
      <c r="G247">
        <v>0</v>
      </c>
      <c r="H247">
        <v>0</v>
      </c>
    </row>
    <row r="248" spans="1:8" x14ac:dyDescent="0.2">
      <c r="A248" t="s">
        <v>183</v>
      </c>
      <c r="B248" t="s">
        <v>9</v>
      </c>
      <c r="C248" t="s">
        <v>151</v>
      </c>
      <c r="D248" t="s">
        <v>144</v>
      </c>
      <c r="E248" t="s">
        <v>145</v>
      </c>
      <c r="F248">
        <v>0</v>
      </c>
      <c r="G248">
        <v>0</v>
      </c>
      <c r="H248">
        <v>0</v>
      </c>
    </row>
    <row r="249" spans="1:8" x14ac:dyDescent="0.2">
      <c r="A249" t="s">
        <v>183</v>
      </c>
      <c r="B249" t="s">
        <v>9</v>
      </c>
      <c r="C249" t="s">
        <v>152</v>
      </c>
      <c r="D249" t="s">
        <v>153</v>
      </c>
      <c r="E249" t="s">
        <v>154</v>
      </c>
      <c r="F249">
        <v>0</v>
      </c>
      <c r="G249">
        <v>0</v>
      </c>
      <c r="H249">
        <v>0</v>
      </c>
    </row>
    <row r="250" spans="1:8" x14ac:dyDescent="0.2">
      <c r="A250" t="s">
        <v>183</v>
      </c>
      <c r="B250" t="s">
        <v>9</v>
      </c>
      <c r="C250" t="s">
        <v>155</v>
      </c>
      <c r="D250" t="s">
        <v>153</v>
      </c>
      <c r="E250" t="s">
        <v>154</v>
      </c>
      <c r="F250">
        <v>0</v>
      </c>
      <c r="G250">
        <v>0</v>
      </c>
      <c r="H250">
        <v>0</v>
      </c>
    </row>
    <row r="251" spans="1:8" x14ac:dyDescent="0.2">
      <c r="A251" t="s">
        <v>183</v>
      </c>
      <c r="B251" t="s">
        <v>9</v>
      </c>
      <c r="C251" t="s">
        <v>156</v>
      </c>
      <c r="D251" t="s">
        <v>153</v>
      </c>
      <c r="E251" t="s">
        <v>154</v>
      </c>
      <c r="F251">
        <v>0</v>
      </c>
      <c r="G251">
        <v>0</v>
      </c>
      <c r="H251">
        <v>0</v>
      </c>
    </row>
    <row r="252" spans="1:8" x14ac:dyDescent="0.2">
      <c r="A252" t="s">
        <v>183</v>
      </c>
      <c r="B252" t="s">
        <v>9</v>
      </c>
      <c r="C252" t="s">
        <v>157</v>
      </c>
      <c r="D252" t="s">
        <v>153</v>
      </c>
      <c r="E252" t="s">
        <v>154</v>
      </c>
      <c r="F252">
        <v>0</v>
      </c>
      <c r="G252">
        <v>0</v>
      </c>
      <c r="H252">
        <v>0</v>
      </c>
    </row>
    <row r="253" spans="1:8" x14ac:dyDescent="0.2">
      <c r="A253" t="s">
        <v>183</v>
      </c>
      <c r="B253" t="s">
        <v>9</v>
      </c>
      <c r="C253" t="s">
        <v>158</v>
      </c>
      <c r="D253" t="s">
        <v>153</v>
      </c>
      <c r="E253" t="s">
        <v>154</v>
      </c>
      <c r="F253">
        <v>0</v>
      </c>
      <c r="G253">
        <v>0</v>
      </c>
      <c r="H253">
        <v>0</v>
      </c>
    </row>
    <row r="254" spans="1:8" x14ac:dyDescent="0.2">
      <c r="A254" t="s">
        <v>183</v>
      </c>
      <c r="B254" t="s">
        <v>9</v>
      </c>
      <c r="C254" t="s">
        <v>159</v>
      </c>
      <c r="D254" t="s">
        <v>153</v>
      </c>
      <c r="E254" t="s">
        <v>154</v>
      </c>
      <c r="F254">
        <v>0</v>
      </c>
      <c r="G254">
        <v>0</v>
      </c>
      <c r="H254">
        <v>0</v>
      </c>
    </row>
    <row r="255" spans="1:8" x14ac:dyDescent="0.2">
      <c r="A255" t="s">
        <v>183</v>
      </c>
      <c r="B255" t="s">
        <v>9</v>
      </c>
      <c r="C255" t="s">
        <v>160</v>
      </c>
      <c r="D255" t="s">
        <v>153</v>
      </c>
      <c r="E255" t="s">
        <v>154</v>
      </c>
      <c r="F255">
        <v>0</v>
      </c>
      <c r="G255">
        <v>0</v>
      </c>
      <c r="H255">
        <v>0</v>
      </c>
    </row>
    <row r="256" spans="1:8" x14ac:dyDescent="0.2">
      <c r="A256" t="s">
        <v>183</v>
      </c>
      <c r="B256" t="s">
        <v>9</v>
      </c>
      <c r="C256" t="s">
        <v>161</v>
      </c>
      <c r="D256" t="s">
        <v>162</v>
      </c>
      <c r="E256" t="s">
        <v>163</v>
      </c>
      <c r="F256">
        <v>0</v>
      </c>
      <c r="G256">
        <v>0</v>
      </c>
      <c r="H256">
        <v>0</v>
      </c>
    </row>
    <row r="257" spans="1:8" x14ac:dyDescent="0.2">
      <c r="A257" t="s">
        <v>183</v>
      </c>
      <c r="B257" t="s">
        <v>9</v>
      </c>
      <c r="C257" t="s">
        <v>164</v>
      </c>
      <c r="D257" t="s">
        <v>162</v>
      </c>
      <c r="E257" t="s">
        <v>163</v>
      </c>
      <c r="F257">
        <v>2</v>
      </c>
      <c r="G257">
        <v>0</v>
      </c>
      <c r="H257">
        <v>0</v>
      </c>
    </row>
    <row r="258" spans="1:8" x14ac:dyDescent="0.2">
      <c r="A258" t="s">
        <v>183</v>
      </c>
      <c r="B258" t="s">
        <v>9</v>
      </c>
      <c r="C258" t="s">
        <v>165</v>
      </c>
      <c r="D258" t="s">
        <v>162</v>
      </c>
      <c r="E258" t="s">
        <v>163</v>
      </c>
      <c r="F258">
        <v>2</v>
      </c>
      <c r="G258">
        <v>0</v>
      </c>
      <c r="H258">
        <v>0</v>
      </c>
    </row>
    <row r="259" spans="1:8" x14ac:dyDescent="0.2">
      <c r="A259" t="s">
        <v>183</v>
      </c>
      <c r="B259" t="s">
        <v>9</v>
      </c>
      <c r="C259" t="s">
        <v>166</v>
      </c>
      <c r="D259" t="s">
        <v>162</v>
      </c>
      <c r="E259" t="s">
        <v>163</v>
      </c>
      <c r="F259">
        <v>0</v>
      </c>
      <c r="G259">
        <v>0</v>
      </c>
      <c r="H259">
        <v>0</v>
      </c>
    </row>
    <row r="260" spans="1:8" x14ac:dyDescent="0.2">
      <c r="A260" t="s">
        <v>183</v>
      </c>
      <c r="B260" t="s">
        <v>9</v>
      </c>
      <c r="C260" t="s">
        <v>167</v>
      </c>
      <c r="D260" t="s">
        <v>162</v>
      </c>
      <c r="E260" t="s">
        <v>163</v>
      </c>
      <c r="F260">
        <v>0</v>
      </c>
      <c r="G260">
        <v>0</v>
      </c>
      <c r="H260">
        <v>0</v>
      </c>
    </row>
    <row r="261" spans="1:8" x14ac:dyDescent="0.2">
      <c r="A261" t="s">
        <v>183</v>
      </c>
      <c r="B261" t="s">
        <v>9</v>
      </c>
      <c r="C261" t="s">
        <v>168</v>
      </c>
      <c r="D261" t="s">
        <v>162</v>
      </c>
      <c r="E261" t="s">
        <v>163</v>
      </c>
      <c r="F261">
        <v>0</v>
      </c>
      <c r="G261">
        <v>0</v>
      </c>
      <c r="H261">
        <v>0</v>
      </c>
    </row>
    <row r="262" spans="1:8" x14ac:dyDescent="0.2">
      <c r="A262" t="s">
        <v>183</v>
      </c>
      <c r="B262" t="s">
        <v>9</v>
      </c>
      <c r="C262" t="s">
        <v>169</v>
      </c>
      <c r="D262" t="s">
        <v>162</v>
      </c>
      <c r="E262" t="s">
        <v>163</v>
      </c>
      <c r="F262">
        <v>0</v>
      </c>
      <c r="G262">
        <v>0</v>
      </c>
      <c r="H262">
        <v>0</v>
      </c>
    </row>
    <row r="263" spans="1:8" x14ac:dyDescent="0.2">
      <c r="A263" t="s">
        <v>183</v>
      </c>
      <c r="B263" t="s">
        <v>9</v>
      </c>
      <c r="C263" t="s">
        <v>170</v>
      </c>
      <c r="D263" t="s">
        <v>171</v>
      </c>
      <c r="E263" t="s">
        <v>172</v>
      </c>
      <c r="F263">
        <v>0</v>
      </c>
      <c r="G263">
        <v>0</v>
      </c>
      <c r="H263">
        <v>0</v>
      </c>
    </row>
    <row r="264" spans="1:8" x14ac:dyDescent="0.2">
      <c r="A264" t="s">
        <v>183</v>
      </c>
      <c r="B264" t="s">
        <v>9</v>
      </c>
      <c r="C264" t="s">
        <v>173</v>
      </c>
      <c r="D264" t="s">
        <v>171</v>
      </c>
      <c r="E264" t="s">
        <v>172</v>
      </c>
      <c r="F264">
        <v>0</v>
      </c>
      <c r="G264">
        <v>0</v>
      </c>
      <c r="H264">
        <v>0</v>
      </c>
    </row>
    <row r="265" spans="1:8" x14ac:dyDescent="0.2">
      <c r="A265" t="s">
        <v>183</v>
      </c>
      <c r="B265" t="s">
        <v>9</v>
      </c>
      <c r="C265" t="s">
        <v>174</v>
      </c>
      <c r="D265" t="s">
        <v>171</v>
      </c>
      <c r="E265" t="s">
        <v>172</v>
      </c>
      <c r="F265">
        <v>0</v>
      </c>
      <c r="G265">
        <v>0</v>
      </c>
      <c r="H265">
        <v>0</v>
      </c>
    </row>
    <row r="266" spans="1:8" x14ac:dyDescent="0.2">
      <c r="A266" t="s">
        <v>183</v>
      </c>
      <c r="B266" t="s">
        <v>9</v>
      </c>
      <c r="C266" t="s">
        <v>175</v>
      </c>
      <c r="D266" t="s">
        <v>171</v>
      </c>
      <c r="E266" t="s">
        <v>172</v>
      </c>
      <c r="F266">
        <v>0</v>
      </c>
      <c r="G266">
        <v>0</v>
      </c>
      <c r="H266">
        <v>0</v>
      </c>
    </row>
    <row r="267" spans="1:8" x14ac:dyDescent="0.2">
      <c r="A267" t="s">
        <v>183</v>
      </c>
      <c r="B267" t="s">
        <v>9</v>
      </c>
      <c r="C267" t="s">
        <v>176</v>
      </c>
      <c r="D267" t="s">
        <v>171</v>
      </c>
      <c r="E267" t="s">
        <v>172</v>
      </c>
      <c r="F267">
        <v>0</v>
      </c>
      <c r="G267">
        <v>0</v>
      </c>
      <c r="H267">
        <v>0</v>
      </c>
    </row>
    <row r="268" spans="1:8" x14ac:dyDescent="0.2">
      <c r="A268" t="s">
        <v>183</v>
      </c>
      <c r="B268" t="s">
        <v>9</v>
      </c>
      <c r="C268" t="s">
        <v>177</v>
      </c>
      <c r="D268" t="s">
        <v>171</v>
      </c>
      <c r="E268" t="s">
        <v>172</v>
      </c>
      <c r="F268">
        <v>0</v>
      </c>
      <c r="G268">
        <v>0</v>
      </c>
      <c r="H268">
        <v>0</v>
      </c>
    </row>
    <row r="269" spans="1:8" x14ac:dyDescent="0.2">
      <c r="A269" t="s">
        <v>183</v>
      </c>
      <c r="B269" t="s">
        <v>9</v>
      </c>
      <c r="C269" t="s">
        <v>178</v>
      </c>
      <c r="D269" t="s">
        <v>171</v>
      </c>
      <c r="E269" t="s">
        <v>172</v>
      </c>
      <c r="F269">
        <v>0</v>
      </c>
      <c r="G269">
        <v>0</v>
      </c>
      <c r="H269">
        <v>0</v>
      </c>
    </row>
    <row r="270" spans="1:8" x14ac:dyDescent="0.2">
      <c r="A270" t="s">
        <v>183</v>
      </c>
      <c r="B270" t="s">
        <v>9</v>
      </c>
      <c r="C270" t="s">
        <v>179</v>
      </c>
      <c r="D270" t="s">
        <v>180</v>
      </c>
      <c r="E270" t="s">
        <v>181</v>
      </c>
      <c r="F270">
        <v>0</v>
      </c>
      <c r="G270">
        <v>0</v>
      </c>
      <c r="H270">
        <v>0</v>
      </c>
    </row>
    <row r="271" spans="1:8" x14ac:dyDescent="0.2">
      <c r="A271" t="s">
        <v>183</v>
      </c>
      <c r="B271" t="s">
        <v>9</v>
      </c>
      <c r="C271" t="s">
        <v>182</v>
      </c>
      <c r="D271" t="s">
        <v>180</v>
      </c>
      <c r="E271" t="s">
        <v>181</v>
      </c>
      <c r="F271">
        <v>0</v>
      </c>
      <c r="G271">
        <v>0</v>
      </c>
      <c r="H271">
        <v>0</v>
      </c>
    </row>
    <row r="272" spans="1:8" x14ac:dyDescent="0.2">
      <c r="A272" t="s">
        <v>184</v>
      </c>
      <c r="B272" t="s">
        <v>9</v>
      </c>
      <c r="C272" t="s">
        <v>10</v>
      </c>
      <c r="D272" t="s">
        <v>11</v>
      </c>
      <c r="E272" t="s">
        <v>12</v>
      </c>
      <c r="F272">
        <v>441</v>
      </c>
      <c r="G272">
        <v>0</v>
      </c>
      <c r="H272">
        <v>0</v>
      </c>
    </row>
    <row r="273" spans="1:8" x14ac:dyDescent="0.2">
      <c r="A273" t="s">
        <v>184</v>
      </c>
      <c r="B273" t="s">
        <v>9</v>
      </c>
      <c r="C273" t="s">
        <v>13</v>
      </c>
      <c r="D273" t="s">
        <v>11</v>
      </c>
      <c r="E273" t="s">
        <v>12</v>
      </c>
      <c r="F273">
        <v>395</v>
      </c>
      <c r="G273">
        <v>0</v>
      </c>
      <c r="H273">
        <v>0</v>
      </c>
    </row>
    <row r="274" spans="1:8" x14ac:dyDescent="0.2">
      <c r="A274" t="s">
        <v>184</v>
      </c>
      <c r="B274" t="s">
        <v>9</v>
      </c>
      <c r="C274" t="s">
        <v>14</v>
      </c>
      <c r="D274" t="s">
        <v>11</v>
      </c>
      <c r="E274" t="s">
        <v>12</v>
      </c>
      <c r="F274">
        <v>377</v>
      </c>
      <c r="G274">
        <v>0</v>
      </c>
      <c r="H274">
        <v>0</v>
      </c>
    </row>
    <row r="275" spans="1:8" x14ac:dyDescent="0.2">
      <c r="A275" t="s">
        <v>184</v>
      </c>
      <c r="B275" t="s">
        <v>9</v>
      </c>
      <c r="C275" t="s">
        <v>15</v>
      </c>
      <c r="D275" t="s">
        <v>11</v>
      </c>
      <c r="E275" t="s">
        <v>12</v>
      </c>
      <c r="F275">
        <v>368</v>
      </c>
      <c r="G275">
        <v>0</v>
      </c>
      <c r="H275">
        <v>0</v>
      </c>
    </row>
    <row r="276" spans="1:8" x14ac:dyDescent="0.2">
      <c r="A276" t="s">
        <v>184</v>
      </c>
      <c r="B276" t="s">
        <v>9</v>
      </c>
      <c r="C276" t="s">
        <v>16</v>
      </c>
      <c r="D276" t="s">
        <v>11</v>
      </c>
      <c r="E276" t="s">
        <v>12</v>
      </c>
      <c r="F276">
        <v>504</v>
      </c>
      <c r="G276">
        <v>0</v>
      </c>
      <c r="H276">
        <v>0</v>
      </c>
    </row>
    <row r="277" spans="1:8" x14ac:dyDescent="0.2">
      <c r="A277" t="s">
        <v>184</v>
      </c>
      <c r="B277" t="s">
        <v>9</v>
      </c>
      <c r="C277" t="s">
        <v>17</v>
      </c>
      <c r="D277" t="s">
        <v>11</v>
      </c>
      <c r="E277" t="s">
        <v>12</v>
      </c>
      <c r="F277">
        <v>693</v>
      </c>
      <c r="G277">
        <v>0</v>
      </c>
      <c r="H277">
        <v>0</v>
      </c>
    </row>
    <row r="278" spans="1:8" x14ac:dyDescent="0.2">
      <c r="A278" t="s">
        <v>184</v>
      </c>
      <c r="B278" t="s">
        <v>9</v>
      </c>
      <c r="C278" t="s">
        <v>18</v>
      </c>
      <c r="D278" t="s">
        <v>11</v>
      </c>
      <c r="E278" t="s">
        <v>12</v>
      </c>
      <c r="F278">
        <v>321</v>
      </c>
      <c r="G278">
        <v>0</v>
      </c>
      <c r="H278">
        <v>0</v>
      </c>
    </row>
    <row r="279" spans="1:8" x14ac:dyDescent="0.2">
      <c r="A279" t="s">
        <v>184</v>
      </c>
      <c r="B279" t="s">
        <v>9</v>
      </c>
      <c r="C279" t="s">
        <v>19</v>
      </c>
      <c r="D279" t="s">
        <v>20</v>
      </c>
      <c r="E279" t="s">
        <v>21</v>
      </c>
      <c r="F279">
        <v>165</v>
      </c>
      <c r="G279">
        <v>0</v>
      </c>
      <c r="H279">
        <v>0</v>
      </c>
    </row>
    <row r="280" spans="1:8" x14ac:dyDescent="0.2">
      <c r="A280" t="s">
        <v>184</v>
      </c>
      <c r="B280" t="s">
        <v>9</v>
      </c>
      <c r="C280" t="s">
        <v>22</v>
      </c>
      <c r="D280" t="s">
        <v>20</v>
      </c>
      <c r="E280" t="s">
        <v>21</v>
      </c>
      <c r="F280">
        <v>171</v>
      </c>
      <c r="G280">
        <v>0</v>
      </c>
      <c r="H280">
        <v>0</v>
      </c>
    </row>
    <row r="281" spans="1:8" x14ac:dyDescent="0.2">
      <c r="A281" t="s">
        <v>184</v>
      </c>
      <c r="B281" t="s">
        <v>9</v>
      </c>
      <c r="C281" t="s">
        <v>23</v>
      </c>
      <c r="D281" t="s">
        <v>20</v>
      </c>
      <c r="E281" t="s">
        <v>21</v>
      </c>
      <c r="F281">
        <v>158</v>
      </c>
      <c r="G281">
        <v>0</v>
      </c>
      <c r="H281">
        <v>0</v>
      </c>
    </row>
    <row r="282" spans="1:8" x14ac:dyDescent="0.2">
      <c r="A282" t="s">
        <v>184</v>
      </c>
      <c r="B282" t="s">
        <v>9</v>
      </c>
      <c r="C282" t="s">
        <v>24</v>
      </c>
      <c r="D282" t="s">
        <v>20</v>
      </c>
      <c r="E282" t="s">
        <v>21</v>
      </c>
      <c r="F282">
        <v>169</v>
      </c>
      <c r="G282">
        <v>0</v>
      </c>
      <c r="H282">
        <v>0</v>
      </c>
    </row>
    <row r="283" spans="1:8" x14ac:dyDescent="0.2">
      <c r="A283" t="s">
        <v>184</v>
      </c>
      <c r="B283" t="s">
        <v>9</v>
      </c>
      <c r="C283" t="s">
        <v>25</v>
      </c>
      <c r="D283" t="s">
        <v>20</v>
      </c>
      <c r="E283" t="s">
        <v>21</v>
      </c>
      <c r="F283">
        <v>175</v>
      </c>
      <c r="G283">
        <v>0</v>
      </c>
      <c r="H283">
        <v>0</v>
      </c>
    </row>
    <row r="284" spans="1:8" x14ac:dyDescent="0.2">
      <c r="A284" t="s">
        <v>184</v>
      </c>
      <c r="B284" t="s">
        <v>9</v>
      </c>
      <c r="C284" t="s">
        <v>26</v>
      </c>
      <c r="D284" t="s">
        <v>20</v>
      </c>
      <c r="E284" t="s">
        <v>21</v>
      </c>
      <c r="F284">
        <v>175</v>
      </c>
      <c r="G284">
        <v>0</v>
      </c>
      <c r="H284">
        <v>0</v>
      </c>
    </row>
    <row r="285" spans="1:8" x14ac:dyDescent="0.2">
      <c r="A285" t="s">
        <v>184</v>
      </c>
      <c r="B285" t="s">
        <v>9</v>
      </c>
      <c r="C285" t="s">
        <v>27</v>
      </c>
      <c r="D285" t="s">
        <v>20</v>
      </c>
      <c r="E285" t="s">
        <v>21</v>
      </c>
      <c r="F285">
        <v>165</v>
      </c>
      <c r="G285">
        <v>0</v>
      </c>
      <c r="H285">
        <v>0</v>
      </c>
    </row>
    <row r="286" spans="1:8" x14ac:dyDescent="0.2">
      <c r="A286" t="s">
        <v>184</v>
      </c>
      <c r="B286" t="s">
        <v>9</v>
      </c>
      <c r="C286" t="s">
        <v>28</v>
      </c>
      <c r="D286" t="s">
        <v>29</v>
      </c>
      <c r="E286" t="s">
        <v>30</v>
      </c>
      <c r="F286">
        <v>155</v>
      </c>
      <c r="G286">
        <v>0</v>
      </c>
      <c r="H286">
        <v>0</v>
      </c>
    </row>
    <row r="287" spans="1:8" x14ac:dyDescent="0.2">
      <c r="A287" t="s">
        <v>184</v>
      </c>
      <c r="B287" t="s">
        <v>9</v>
      </c>
      <c r="C287" t="s">
        <v>31</v>
      </c>
      <c r="D287" t="s">
        <v>29</v>
      </c>
      <c r="E287" t="s">
        <v>30</v>
      </c>
      <c r="F287">
        <v>147</v>
      </c>
      <c r="G287">
        <v>0</v>
      </c>
      <c r="H287">
        <v>0</v>
      </c>
    </row>
    <row r="288" spans="1:8" x14ac:dyDescent="0.2">
      <c r="A288" t="s">
        <v>184</v>
      </c>
      <c r="B288" t="s">
        <v>9</v>
      </c>
      <c r="C288" t="s">
        <v>32</v>
      </c>
      <c r="D288" t="s">
        <v>29</v>
      </c>
      <c r="E288" t="s">
        <v>30</v>
      </c>
      <c r="F288">
        <v>154</v>
      </c>
      <c r="G288">
        <v>0</v>
      </c>
      <c r="H288">
        <v>0</v>
      </c>
    </row>
    <row r="289" spans="1:8" x14ac:dyDescent="0.2">
      <c r="A289" t="s">
        <v>184</v>
      </c>
      <c r="B289" t="s">
        <v>9</v>
      </c>
      <c r="C289" t="s">
        <v>33</v>
      </c>
      <c r="D289" t="s">
        <v>29</v>
      </c>
      <c r="E289" t="s">
        <v>30</v>
      </c>
      <c r="F289">
        <v>149</v>
      </c>
      <c r="G289">
        <v>0</v>
      </c>
      <c r="H289">
        <v>0</v>
      </c>
    </row>
    <row r="290" spans="1:8" x14ac:dyDescent="0.2">
      <c r="A290" t="s">
        <v>184</v>
      </c>
      <c r="B290" t="s">
        <v>9</v>
      </c>
      <c r="C290" t="s">
        <v>34</v>
      </c>
      <c r="D290" t="s">
        <v>29</v>
      </c>
      <c r="E290" t="s">
        <v>30</v>
      </c>
      <c r="F290">
        <v>138</v>
      </c>
      <c r="G290">
        <v>0</v>
      </c>
      <c r="H290">
        <v>0</v>
      </c>
    </row>
    <row r="291" spans="1:8" x14ac:dyDescent="0.2">
      <c r="A291" t="s">
        <v>184</v>
      </c>
      <c r="B291" t="s">
        <v>9</v>
      </c>
      <c r="C291" t="s">
        <v>35</v>
      </c>
      <c r="D291" t="s">
        <v>29</v>
      </c>
      <c r="E291" t="s">
        <v>30</v>
      </c>
      <c r="F291">
        <v>143</v>
      </c>
      <c r="G291">
        <v>0</v>
      </c>
      <c r="H291">
        <v>0</v>
      </c>
    </row>
    <row r="292" spans="1:8" x14ac:dyDescent="0.2">
      <c r="A292" t="s">
        <v>184</v>
      </c>
      <c r="B292" t="s">
        <v>9</v>
      </c>
      <c r="C292" t="s">
        <v>36</v>
      </c>
      <c r="D292" t="s">
        <v>29</v>
      </c>
      <c r="E292" t="s">
        <v>30</v>
      </c>
      <c r="F292">
        <v>140</v>
      </c>
      <c r="G292">
        <v>0</v>
      </c>
      <c r="H292">
        <v>0</v>
      </c>
    </row>
    <row r="293" spans="1:8" x14ac:dyDescent="0.2">
      <c r="A293" t="s">
        <v>184</v>
      </c>
      <c r="B293" t="s">
        <v>9</v>
      </c>
      <c r="C293" t="s">
        <v>37</v>
      </c>
      <c r="D293" t="s">
        <v>38</v>
      </c>
      <c r="E293" t="s">
        <v>39</v>
      </c>
      <c r="F293">
        <v>130</v>
      </c>
      <c r="G293">
        <v>0</v>
      </c>
      <c r="H293">
        <v>0</v>
      </c>
    </row>
    <row r="294" spans="1:8" x14ac:dyDescent="0.2">
      <c r="A294" t="s">
        <v>184</v>
      </c>
      <c r="B294" t="s">
        <v>9</v>
      </c>
      <c r="C294" t="s">
        <v>40</v>
      </c>
      <c r="D294" t="s">
        <v>38</v>
      </c>
      <c r="E294" t="s">
        <v>39</v>
      </c>
      <c r="F294">
        <v>129</v>
      </c>
      <c r="G294">
        <v>0</v>
      </c>
      <c r="H294">
        <v>0</v>
      </c>
    </row>
    <row r="295" spans="1:8" x14ac:dyDescent="0.2">
      <c r="A295" t="s">
        <v>184</v>
      </c>
      <c r="B295" t="s">
        <v>9</v>
      </c>
      <c r="C295" t="s">
        <v>41</v>
      </c>
      <c r="D295" t="s">
        <v>38</v>
      </c>
      <c r="E295" t="s">
        <v>39</v>
      </c>
      <c r="F295">
        <v>153</v>
      </c>
      <c r="G295">
        <v>0</v>
      </c>
      <c r="H295">
        <v>0</v>
      </c>
    </row>
    <row r="296" spans="1:8" x14ac:dyDescent="0.2">
      <c r="A296" t="s">
        <v>184</v>
      </c>
      <c r="B296" t="s">
        <v>9</v>
      </c>
      <c r="C296" t="s">
        <v>42</v>
      </c>
      <c r="D296" t="s">
        <v>38</v>
      </c>
      <c r="E296" t="s">
        <v>39</v>
      </c>
      <c r="F296">
        <v>128</v>
      </c>
      <c r="G296">
        <v>0</v>
      </c>
      <c r="H296">
        <v>0</v>
      </c>
    </row>
    <row r="297" spans="1:8" x14ac:dyDescent="0.2">
      <c r="A297" t="s">
        <v>184</v>
      </c>
      <c r="B297" t="s">
        <v>9</v>
      </c>
      <c r="C297" t="s">
        <v>43</v>
      </c>
      <c r="D297" t="s">
        <v>38</v>
      </c>
      <c r="E297" t="s">
        <v>39</v>
      </c>
      <c r="F297">
        <v>108</v>
      </c>
      <c r="G297">
        <v>0</v>
      </c>
      <c r="H297">
        <v>0</v>
      </c>
    </row>
    <row r="298" spans="1:8" x14ac:dyDescent="0.2">
      <c r="A298" t="s">
        <v>184</v>
      </c>
      <c r="B298" t="s">
        <v>9</v>
      </c>
      <c r="C298" t="s">
        <v>44</v>
      </c>
      <c r="D298" t="s">
        <v>38</v>
      </c>
      <c r="E298" t="s">
        <v>39</v>
      </c>
      <c r="F298">
        <v>129</v>
      </c>
      <c r="G298">
        <v>0</v>
      </c>
      <c r="H298">
        <v>0</v>
      </c>
    </row>
    <row r="299" spans="1:8" x14ac:dyDescent="0.2">
      <c r="A299" t="s">
        <v>184</v>
      </c>
      <c r="B299" t="s">
        <v>9</v>
      </c>
      <c r="C299" t="s">
        <v>45</v>
      </c>
      <c r="D299" t="s">
        <v>38</v>
      </c>
      <c r="E299" t="s">
        <v>39</v>
      </c>
      <c r="F299">
        <v>176</v>
      </c>
      <c r="G299">
        <v>0</v>
      </c>
      <c r="H299">
        <v>0</v>
      </c>
    </row>
    <row r="300" spans="1:8" x14ac:dyDescent="0.2">
      <c r="A300" t="s">
        <v>184</v>
      </c>
      <c r="B300" t="s">
        <v>9</v>
      </c>
      <c r="C300" t="s">
        <v>46</v>
      </c>
      <c r="D300" t="s">
        <v>47</v>
      </c>
      <c r="E300" t="s">
        <v>48</v>
      </c>
      <c r="F300">
        <v>138</v>
      </c>
      <c r="G300">
        <v>0</v>
      </c>
      <c r="H300">
        <v>0</v>
      </c>
    </row>
    <row r="301" spans="1:8" x14ac:dyDescent="0.2">
      <c r="A301" t="s">
        <v>184</v>
      </c>
      <c r="B301" t="s">
        <v>9</v>
      </c>
      <c r="C301" t="s">
        <v>49</v>
      </c>
      <c r="D301" t="s">
        <v>47</v>
      </c>
      <c r="E301" t="s">
        <v>48</v>
      </c>
      <c r="F301">
        <v>159</v>
      </c>
      <c r="G301">
        <v>0</v>
      </c>
      <c r="H301">
        <v>0</v>
      </c>
    </row>
    <row r="302" spans="1:8" x14ac:dyDescent="0.2">
      <c r="A302" t="s">
        <v>184</v>
      </c>
      <c r="B302" t="s">
        <v>9</v>
      </c>
      <c r="C302" t="s">
        <v>50</v>
      </c>
      <c r="D302" t="s">
        <v>47</v>
      </c>
      <c r="E302" t="s">
        <v>48</v>
      </c>
      <c r="F302">
        <v>165</v>
      </c>
      <c r="G302">
        <v>0</v>
      </c>
      <c r="H302">
        <v>0</v>
      </c>
    </row>
    <row r="303" spans="1:8" x14ac:dyDescent="0.2">
      <c r="A303" t="s">
        <v>184</v>
      </c>
      <c r="B303" t="s">
        <v>9</v>
      </c>
      <c r="C303" t="s">
        <v>51</v>
      </c>
      <c r="D303" t="s">
        <v>47</v>
      </c>
      <c r="E303" t="s">
        <v>48</v>
      </c>
      <c r="F303">
        <v>131</v>
      </c>
      <c r="G303">
        <v>0</v>
      </c>
      <c r="H303">
        <v>0</v>
      </c>
    </row>
    <row r="304" spans="1:8" x14ac:dyDescent="0.2">
      <c r="A304" t="s">
        <v>184</v>
      </c>
      <c r="B304" t="s">
        <v>9</v>
      </c>
      <c r="C304" t="s">
        <v>52</v>
      </c>
      <c r="D304" t="s">
        <v>47</v>
      </c>
      <c r="E304" t="s">
        <v>48</v>
      </c>
      <c r="F304">
        <v>121</v>
      </c>
      <c r="G304">
        <v>0</v>
      </c>
      <c r="H304">
        <v>0</v>
      </c>
    </row>
    <row r="305" spans="1:8" x14ac:dyDescent="0.2">
      <c r="A305" t="s">
        <v>184</v>
      </c>
      <c r="B305" t="s">
        <v>9</v>
      </c>
      <c r="C305" t="s">
        <v>53</v>
      </c>
      <c r="D305" t="s">
        <v>47</v>
      </c>
      <c r="E305" t="s">
        <v>48</v>
      </c>
      <c r="F305">
        <v>120</v>
      </c>
      <c r="G305">
        <v>0</v>
      </c>
      <c r="H305">
        <v>0</v>
      </c>
    </row>
    <row r="306" spans="1:8" x14ac:dyDescent="0.2">
      <c r="A306" t="s">
        <v>184</v>
      </c>
      <c r="B306" t="s">
        <v>9</v>
      </c>
      <c r="C306" t="s">
        <v>54</v>
      </c>
      <c r="D306" t="s">
        <v>47</v>
      </c>
      <c r="E306" t="s">
        <v>48</v>
      </c>
      <c r="F306">
        <v>124</v>
      </c>
      <c r="G306">
        <v>0</v>
      </c>
      <c r="H306">
        <v>0</v>
      </c>
    </row>
    <row r="307" spans="1:8" x14ac:dyDescent="0.2">
      <c r="A307" t="s">
        <v>184</v>
      </c>
      <c r="B307" t="s">
        <v>9</v>
      </c>
      <c r="C307" t="s">
        <v>55</v>
      </c>
      <c r="D307" t="s">
        <v>56</v>
      </c>
      <c r="E307" t="s">
        <v>57</v>
      </c>
      <c r="F307">
        <v>163</v>
      </c>
      <c r="G307">
        <v>0</v>
      </c>
      <c r="H307">
        <v>0</v>
      </c>
    </row>
    <row r="308" spans="1:8" x14ac:dyDescent="0.2">
      <c r="A308" t="s">
        <v>184</v>
      </c>
      <c r="B308" t="s">
        <v>9</v>
      </c>
      <c r="C308" t="s">
        <v>58</v>
      </c>
      <c r="D308" t="s">
        <v>56</v>
      </c>
      <c r="E308" t="s">
        <v>57</v>
      </c>
      <c r="F308">
        <v>126</v>
      </c>
      <c r="G308">
        <v>0</v>
      </c>
      <c r="H308">
        <v>0</v>
      </c>
    </row>
    <row r="309" spans="1:8" x14ac:dyDescent="0.2">
      <c r="A309" t="s">
        <v>184</v>
      </c>
      <c r="B309" t="s">
        <v>9</v>
      </c>
      <c r="C309" t="s">
        <v>59</v>
      </c>
      <c r="D309" t="s">
        <v>56</v>
      </c>
      <c r="E309" t="s">
        <v>57</v>
      </c>
      <c r="F309">
        <v>136</v>
      </c>
      <c r="G309">
        <v>0</v>
      </c>
      <c r="H309">
        <v>0</v>
      </c>
    </row>
    <row r="310" spans="1:8" x14ac:dyDescent="0.2">
      <c r="A310" t="s">
        <v>184</v>
      </c>
      <c r="B310" t="s">
        <v>9</v>
      </c>
      <c r="C310" t="s">
        <v>60</v>
      </c>
      <c r="D310" t="s">
        <v>56</v>
      </c>
      <c r="E310" t="s">
        <v>57</v>
      </c>
      <c r="F310">
        <v>130</v>
      </c>
      <c r="G310">
        <v>0</v>
      </c>
      <c r="H310">
        <v>0</v>
      </c>
    </row>
    <row r="311" spans="1:8" x14ac:dyDescent="0.2">
      <c r="A311" t="s">
        <v>184</v>
      </c>
      <c r="B311" t="s">
        <v>9</v>
      </c>
      <c r="C311" t="s">
        <v>61</v>
      </c>
      <c r="D311" t="s">
        <v>56</v>
      </c>
      <c r="E311" t="s">
        <v>57</v>
      </c>
      <c r="F311">
        <v>131</v>
      </c>
      <c r="G311">
        <v>0</v>
      </c>
      <c r="H311">
        <v>0</v>
      </c>
    </row>
    <row r="312" spans="1:8" x14ac:dyDescent="0.2">
      <c r="A312" t="s">
        <v>184</v>
      </c>
      <c r="B312" t="s">
        <v>9</v>
      </c>
      <c r="C312" t="s">
        <v>62</v>
      </c>
      <c r="D312" t="s">
        <v>56</v>
      </c>
      <c r="E312" t="s">
        <v>57</v>
      </c>
      <c r="F312">
        <v>130</v>
      </c>
      <c r="G312">
        <v>0</v>
      </c>
      <c r="H312">
        <v>0</v>
      </c>
    </row>
    <row r="313" spans="1:8" x14ac:dyDescent="0.2">
      <c r="A313" t="s">
        <v>184</v>
      </c>
      <c r="B313" t="s">
        <v>9</v>
      </c>
      <c r="C313" t="s">
        <v>63</v>
      </c>
      <c r="D313" t="s">
        <v>56</v>
      </c>
      <c r="E313" t="s">
        <v>57</v>
      </c>
      <c r="F313">
        <v>144</v>
      </c>
      <c r="G313">
        <v>0</v>
      </c>
      <c r="H313">
        <v>0</v>
      </c>
    </row>
    <row r="314" spans="1:8" x14ac:dyDescent="0.2">
      <c r="A314" t="s">
        <v>184</v>
      </c>
      <c r="B314" t="s">
        <v>9</v>
      </c>
      <c r="C314" t="s">
        <v>64</v>
      </c>
      <c r="D314" t="s">
        <v>65</v>
      </c>
      <c r="E314" t="s">
        <v>66</v>
      </c>
      <c r="F314">
        <v>132</v>
      </c>
      <c r="G314">
        <v>0</v>
      </c>
      <c r="H314">
        <v>0</v>
      </c>
    </row>
    <row r="315" spans="1:8" x14ac:dyDescent="0.2">
      <c r="A315" t="s">
        <v>184</v>
      </c>
      <c r="B315" t="s">
        <v>9</v>
      </c>
      <c r="C315" t="s">
        <v>67</v>
      </c>
      <c r="D315" t="s">
        <v>65</v>
      </c>
      <c r="E315" t="s">
        <v>66</v>
      </c>
      <c r="F315">
        <v>156</v>
      </c>
      <c r="G315">
        <v>0</v>
      </c>
      <c r="H315">
        <v>0</v>
      </c>
    </row>
    <row r="316" spans="1:8" x14ac:dyDescent="0.2">
      <c r="A316" t="s">
        <v>184</v>
      </c>
      <c r="B316" t="s">
        <v>9</v>
      </c>
      <c r="C316" t="s">
        <v>68</v>
      </c>
      <c r="D316" t="s">
        <v>65</v>
      </c>
      <c r="E316" t="s">
        <v>66</v>
      </c>
      <c r="F316">
        <v>142</v>
      </c>
      <c r="G316">
        <v>0</v>
      </c>
      <c r="H316">
        <v>0</v>
      </c>
    </row>
    <row r="317" spans="1:8" x14ac:dyDescent="0.2">
      <c r="A317" t="s">
        <v>184</v>
      </c>
      <c r="B317" t="s">
        <v>9</v>
      </c>
      <c r="C317" t="s">
        <v>69</v>
      </c>
      <c r="D317" t="s">
        <v>65</v>
      </c>
      <c r="E317" t="s">
        <v>66</v>
      </c>
      <c r="F317">
        <v>139</v>
      </c>
      <c r="G317">
        <v>0</v>
      </c>
      <c r="H317">
        <v>0</v>
      </c>
    </row>
    <row r="318" spans="1:8" x14ac:dyDescent="0.2">
      <c r="A318" t="s">
        <v>184</v>
      </c>
      <c r="B318" t="s">
        <v>9</v>
      </c>
      <c r="C318" t="s">
        <v>70</v>
      </c>
      <c r="D318" t="s">
        <v>65</v>
      </c>
      <c r="E318" t="s">
        <v>66</v>
      </c>
      <c r="F318">
        <v>133</v>
      </c>
      <c r="G318">
        <v>0</v>
      </c>
      <c r="H318">
        <v>0</v>
      </c>
    </row>
    <row r="319" spans="1:8" x14ac:dyDescent="0.2">
      <c r="A319" t="s">
        <v>184</v>
      </c>
      <c r="B319" t="s">
        <v>9</v>
      </c>
      <c r="C319" t="s">
        <v>71</v>
      </c>
      <c r="D319" t="s">
        <v>65</v>
      </c>
      <c r="E319" t="s">
        <v>66</v>
      </c>
      <c r="F319">
        <v>122</v>
      </c>
      <c r="G319">
        <v>0</v>
      </c>
      <c r="H319">
        <v>0</v>
      </c>
    </row>
    <row r="320" spans="1:8" x14ac:dyDescent="0.2">
      <c r="A320" t="s">
        <v>184</v>
      </c>
      <c r="B320" t="s">
        <v>9</v>
      </c>
      <c r="C320" t="s">
        <v>72</v>
      </c>
      <c r="D320" t="s">
        <v>65</v>
      </c>
      <c r="E320" t="s">
        <v>66</v>
      </c>
      <c r="F320">
        <v>149</v>
      </c>
      <c r="G320">
        <v>0</v>
      </c>
      <c r="H320">
        <v>0</v>
      </c>
    </row>
    <row r="321" spans="1:8" x14ac:dyDescent="0.2">
      <c r="A321" t="s">
        <v>184</v>
      </c>
      <c r="B321" t="s">
        <v>9</v>
      </c>
      <c r="C321" t="s">
        <v>73</v>
      </c>
      <c r="D321" t="s">
        <v>74</v>
      </c>
      <c r="E321" t="s">
        <v>75</v>
      </c>
      <c r="F321">
        <v>142</v>
      </c>
      <c r="G321">
        <v>0</v>
      </c>
      <c r="H321">
        <v>0</v>
      </c>
    </row>
    <row r="322" spans="1:8" x14ac:dyDescent="0.2">
      <c r="A322" t="s">
        <v>184</v>
      </c>
      <c r="B322" t="s">
        <v>9</v>
      </c>
      <c r="C322" t="s">
        <v>76</v>
      </c>
      <c r="D322" t="s">
        <v>74</v>
      </c>
      <c r="E322" t="s">
        <v>75</v>
      </c>
      <c r="F322">
        <v>171</v>
      </c>
      <c r="G322">
        <v>0</v>
      </c>
      <c r="H322">
        <v>0</v>
      </c>
    </row>
    <row r="323" spans="1:8" x14ac:dyDescent="0.2">
      <c r="A323" t="s">
        <v>184</v>
      </c>
      <c r="B323" t="s">
        <v>9</v>
      </c>
      <c r="C323" t="s">
        <v>77</v>
      </c>
      <c r="D323" t="s">
        <v>74</v>
      </c>
      <c r="E323" t="s">
        <v>75</v>
      </c>
      <c r="F323">
        <v>168</v>
      </c>
      <c r="G323">
        <v>0</v>
      </c>
      <c r="H323">
        <v>0</v>
      </c>
    </row>
    <row r="324" spans="1:8" x14ac:dyDescent="0.2">
      <c r="A324" t="s">
        <v>184</v>
      </c>
      <c r="B324" t="s">
        <v>9</v>
      </c>
      <c r="C324" t="s">
        <v>78</v>
      </c>
      <c r="D324" t="s">
        <v>74</v>
      </c>
      <c r="E324" t="s">
        <v>75</v>
      </c>
      <c r="F324">
        <v>169</v>
      </c>
      <c r="G324">
        <v>0</v>
      </c>
      <c r="H324">
        <v>0</v>
      </c>
    </row>
    <row r="325" spans="1:8" x14ac:dyDescent="0.2">
      <c r="A325" t="s">
        <v>184</v>
      </c>
      <c r="B325" t="s">
        <v>9</v>
      </c>
      <c r="C325" t="s">
        <v>79</v>
      </c>
      <c r="D325" t="s">
        <v>74</v>
      </c>
      <c r="E325" t="s">
        <v>75</v>
      </c>
      <c r="F325">
        <v>172</v>
      </c>
      <c r="G325">
        <v>0</v>
      </c>
      <c r="H325">
        <v>0</v>
      </c>
    </row>
    <row r="326" spans="1:8" x14ac:dyDescent="0.2">
      <c r="A326" t="s">
        <v>184</v>
      </c>
      <c r="B326" t="s">
        <v>9</v>
      </c>
      <c r="C326" t="s">
        <v>80</v>
      </c>
      <c r="D326" t="s">
        <v>74</v>
      </c>
      <c r="E326" t="s">
        <v>75</v>
      </c>
      <c r="F326">
        <v>221</v>
      </c>
      <c r="G326">
        <v>0</v>
      </c>
      <c r="H326">
        <v>0</v>
      </c>
    </row>
    <row r="327" spans="1:8" x14ac:dyDescent="0.2">
      <c r="A327" t="s">
        <v>184</v>
      </c>
      <c r="B327" t="s">
        <v>9</v>
      </c>
      <c r="C327" t="s">
        <v>81</v>
      </c>
      <c r="D327" t="s">
        <v>74</v>
      </c>
      <c r="E327" t="s">
        <v>75</v>
      </c>
      <c r="F327">
        <v>181</v>
      </c>
      <c r="G327">
        <v>0</v>
      </c>
      <c r="H327">
        <v>0</v>
      </c>
    </row>
    <row r="328" spans="1:8" x14ac:dyDescent="0.2">
      <c r="A328" t="s">
        <v>184</v>
      </c>
      <c r="B328" t="s">
        <v>9</v>
      </c>
      <c r="C328" t="s">
        <v>82</v>
      </c>
      <c r="D328" t="s">
        <v>83</v>
      </c>
      <c r="E328" t="s">
        <v>84</v>
      </c>
      <c r="F328">
        <v>225</v>
      </c>
      <c r="G328">
        <v>0</v>
      </c>
      <c r="H328">
        <v>0</v>
      </c>
    </row>
    <row r="329" spans="1:8" x14ac:dyDescent="0.2">
      <c r="A329" t="s">
        <v>184</v>
      </c>
      <c r="B329" t="s">
        <v>9</v>
      </c>
      <c r="C329" t="s">
        <v>85</v>
      </c>
      <c r="D329" t="s">
        <v>83</v>
      </c>
      <c r="E329" t="s">
        <v>84</v>
      </c>
      <c r="F329">
        <v>196</v>
      </c>
      <c r="G329">
        <v>0</v>
      </c>
      <c r="H329">
        <v>0</v>
      </c>
    </row>
    <row r="330" spans="1:8" x14ac:dyDescent="0.2">
      <c r="A330" t="s">
        <v>184</v>
      </c>
      <c r="B330" t="s">
        <v>9</v>
      </c>
      <c r="C330" t="s">
        <v>86</v>
      </c>
      <c r="D330" t="s">
        <v>83</v>
      </c>
      <c r="E330" t="s">
        <v>84</v>
      </c>
      <c r="F330">
        <v>195</v>
      </c>
      <c r="G330">
        <v>0</v>
      </c>
      <c r="H330">
        <v>0</v>
      </c>
    </row>
    <row r="331" spans="1:8" x14ac:dyDescent="0.2">
      <c r="A331" t="s">
        <v>184</v>
      </c>
      <c r="B331" t="s">
        <v>9</v>
      </c>
      <c r="C331" t="s">
        <v>87</v>
      </c>
      <c r="D331" t="s">
        <v>83</v>
      </c>
      <c r="E331" t="s">
        <v>84</v>
      </c>
      <c r="F331">
        <v>162</v>
      </c>
      <c r="G331">
        <v>0</v>
      </c>
      <c r="H331">
        <v>0</v>
      </c>
    </row>
    <row r="332" spans="1:8" x14ac:dyDescent="0.2">
      <c r="A332" t="s">
        <v>184</v>
      </c>
      <c r="B332" t="s">
        <v>9</v>
      </c>
      <c r="C332" t="s">
        <v>88</v>
      </c>
      <c r="D332" t="s">
        <v>83</v>
      </c>
      <c r="E332" t="s">
        <v>84</v>
      </c>
      <c r="F332">
        <v>149</v>
      </c>
      <c r="G332">
        <v>0</v>
      </c>
      <c r="H332">
        <v>0</v>
      </c>
    </row>
    <row r="333" spans="1:8" x14ac:dyDescent="0.2">
      <c r="A333" t="s">
        <v>184</v>
      </c>
      <c r="B333" t="s">
        <v>9</v>
      </c>
      <c r="C333" t="s">
        <v>89</v>
      </c>
      <c r="D333" t="s">
        <v>83</v>
      </c>
      <c r="E333" t="s">
        <v>84</v>
      </c>
      <c r="F333">
        <v>166</v>
      </c>
      <c r="G333">
        <v>0</v>
      </c>
      <c r="H333">
        <v>0</v>
      </c>
    </row>
    <row r="334" spans="1:8" x14ac:dyDescent="0.2">
      <c r="A334" t="s">
        <v>184</v>
      </c>
      <c r="B334" t="s">
        <v>9</v>
      </c>
      <c r="C334" t="s">
        <v>90</v>
      </c>
      <c r="D334" t="s">
        <v>83</v>
      </c>
      <c r="E334" t="s">
        <v>84</v>
      </c>
      <c r="F334">
        <v>163</v>
      </c>
      <c r="G334">
        <v>0</v>
      </c>
      <c r="H334">
        <v>0</v>
      </c>
    </row>
    <row r="335" spans="1:8" x14ac:dyDescent="0.2">
      <c r="A335" t="s">
        <v>184</v>
      </c>
      <c r="B335" t="s">
        <v>9</v>
      </c>
      <c r="C335" t="s">
        <v>91</v>
      </c>
      <c r="D335" t="s">
        <v>92</v>
      </c>
      <c r="E335" t="s">
        <v>93</v>
      </c>
      <c r="F335">
        <v>175</v>
      </c>
      <c r="G335">
        <v>0</v>
      </c>
      <c r="H335">
        <v>0</v>
      </c>
    </row>
    <row r="336" spans="1:8" x14ac:dyDescent="0.2">
      <c r="A336" t="s">
        <v>184</v>
      </c>
      <c r="B336" t="s">
        <v>9</v>
      </c>
      <c r="C336" t="s">
        <v>94</v>
      </c>
      <c r="D336" t="s">
        <v>92</v>
      </c>
      <c r="E336" t="s">
        <v>93</v>
      </c>
      <c r="F336">
        <v>190</v>
      </c>
      <c r="G336">
        <v>0</v>
      </c>
      <c r="H336">
        <v>0</v>
      </c>
    </row>
    <row r="337" spans="1:8" x14ac:dyDescent="0.2">
      <c r="A337" t="s">
        <v>184</v>
      </c>
      <c r="B337" t="s">
        <v>9</v>
      </c>
      <c r="C337" t="s">
        <v>95</v>
      </c>
      <c r="D337" t="s">
        <v>92</v>
      </c>
      <c r="E337" t="s">
        <v>93</v>
      </c>
      <c r="F337">
        <v>157</v>
      </c>
      <c r="G337">
        <v>0</v>
      </c>
      <c r="H337">
        <v>0</v>
      </c>
    </row>
    <row r="338" spans="1:8" x14ac:dyDescent="0.2">
      <c r="A338" t="s">
        <v>184</v>
      </c>
      <c r="B338" t="s">
        <v>9</v>
      </c>
      <c r="C338" t="s">
        <v>96</v>
      </c>
      <c r="D338" t="s">
        <v>92</v>
      </c>
      <c r="E338" t="s">
        <v>93</v>
      </c>
      <c r="F338">
        <v>171</v>
      </c>
      <c r="G338">
        <v>0</v>
      </c>
      <c r="H338">
        <v>0</v>
      </c>
    </row>
    <row r="339" spans="1:8" x14ac:dyDescent="0.2">
      <c r="A339" t="s">
        <v>184</v>
      </c>
      <c r="B339" t="s">
        <v>9</v>
      </c>
      <c r="C339" t="s">
        <v>97</v>
      </c>
      <c r="D339" t="s">
        <v>92</v>
      </c>
      <c r="E339" t="s">
        <v>93</v>
      </c>
      <c r="F339">
        <v>129</v>
      </c>
      <c r="G339">
        <v>0</v>
      </c>
      <c r="H339">
        <v>0</v>
      </c>
    </row>
    <row r="340" spans="1:8" x14ac:dyDescent="0.2">
      <c r="A340" t="s">
        <v>184</v>
      </c>
      <c r="B340" t="s">
        <v>9</v>
      </c>
      <c r="C340" t="s">
        <v>98</v>
      </c>
      <c r="D340" t="s">
        <v>92</v>
      </c>
      <c r="E340" t="s">
        <v>93</v>
      </c>
      <c r="F340">
        <v>150</v>
      </c>
      <c r="G340">
        <v>0</v>
      </c>
      <c r="H340">
        <v>0</v>
      </c>
    </row>
    <row r="341" spans="1:8" x14ac:dyDescent="0.2">
      <c r="A341" t="s">
        <v>184</v>
      </c>
      <c r="B341" t="s">
        <v>9</v>
      </c>
      <c r="C341" t="s">
        <v>99</v>
      </c>
      <c r="D341" t="s">
        <v>92</v>
      </c>
      <c r="E341" t="s">
        <v>93</v>
      </c>
      <c r="F341">
        <v>146</v>
      </c>
      <c r="G341">
        <v>0</v>
      </c>
      <c r="H341">
        <v>0</v>
      </c>
    </row>
    <row r="342" spans="1:8" x14ac:dyDescent="0.2">
      <c r="A342" t="s">
        <v>184</v>
      </c>
      <c r="B342" t="s">
        <v>9</v>
      </c>
      <c r="C342" t="s">
        <v>100</v>
      </c>
      <c r="D342" t="s">
        <v>101</v>
      </c>
      <c r="E342" t="s">
        <v>102</v>
      </c>
      <c r="F342">
        <v>184</v>
      </c>
      <c r="G342">
        <v>0</v>
      </c>
      <c r="H342">
        <v>0</v>
      </c>
    </row>
    <row r="343" spans="1:8" x14ac:dyDescent="0.2">
      <c r="A343" t="s">
        <v>184</v>
      </c>
      <c r="B343" t="s">
        <v>9</v>
      </c>
      <c r="C343" t="s">
        <v>103</v>
      </c>
      <c r="D343" t="s">
        <v>101</v>
      </c>
      <c r="E343" t="s">
        <v>102</v>
      </c>
      <c r="F343">
        <v>153</v>
      </c>
      <c r="G343">
        <v>0</v>
      </c>
      <c r="H343">
        <v>0</v>
      </c>
    </row>
    <row r="344" spans="1:8" x14ac:dyDescent="0.2">
      <c r="A344" t="s">
        <v>184</v>
      </c>
      <c r="B344" t="s">
        <v>9</v>
      </c>
      <c r="C344" t="s">
        <v>104</v>
      </c>
      <c r="D344" t="s">
        <v>101</v>
      </c>
      <c r="E344" t="s">
        <v>102</v>
      </c>
      <c r="F344">
        <v>179</v>
      </c>
      <c r="G344">
        <v>0</v>
      </c>
      <c r="H344">
        <v>0</v>
      </c>
    </row>
    <row r="345" spans="1:8" x14ac:dyDescent="0.2">
      <c r="A345" t="s">
        <v>184</v>
      </c>
      <c r="B345" t="s">
        <v>9</v>
      </c>
      <c r="C345" t="s">
        <v>105</v>
      </c>
      <c r="D345" t="s">
        <v>101</v>
      </c>
      <c r="E345" t="s">
        <v>102</v>
      </c>
      <c r="F345">
        <v>170</v>
      </c>
      <c r="G345">
        <v>0</v>
      </c>
      <c r="H345">
        <v>0</v>
      </c>
    </row>
    <row r="346" spans="1:8" x14ac:dyDescent="0.2">
      <c r="A346" t="s">
        <v>184</v>
      </c>
      <c r="B346" t="s">
        <v>9</v>
      </c>
      <c r="C346" t="s">
        <v>106</v>
      </c>
      <c r="D346" t="s">
        <v>101</v>
      </c>
      <c r="E346" t="s">
        <v>102</v>
      </c>
      <c r="F346">
        <v>169</v>
      </c>
      <c r="G346">
        <v>0</v>
      </c>
      <c r="H346">
        <v>0</v>
      </c>
    </row>
    <row r="347" spans="1:8" x14ac:dyDescent="0.2">
      <c r="A347" t="s">
        <v>184</v>
      </c>
      <c r="B347" t="s">
        <v>9</v>
      </c>
      <c r="C347" t="s">
        <v>107</v>
      </c>
      <c r="D347" t="s">
        <v>101</v>
      </c>
      <c r="E347" t="s">
        <v>102</v>
      </c>
      <c r="F347">
        <v>191</v>
      </c>
      <c r="G347">
        <v>0</v>
      </c>
      <c r="H347">
        <v>0</v>
      </c>
    </row>
    <row r="348" spans="1:8" x14ac:dyDescent="0.2">
      <c r="A348" t="s">
        <v>184</v>
      </c>
      <c r="B348" t="s">
        <v>9</v>
      </c>
      <c r="C348" t="s">
        <v>108</v>
      </c>
      <c r="D348" t="s">
        <v>101</v>
      </c>
      <c r="E348" t="s">
        <v>102</v>
      </c>
      <c r="F348">
        <v>202</v>
      </c>
      <c r="G348">
        <v>0</v>
      </c>
      <c r="H348">
        <v>0</v>
      </c>
    </row>
    <row r="349" spans="1:8" x14ac:dyDescent="0.2">
      <c r="A349" t="s">
        <v>184</v>
      </c>
      <c r="B349" t="s">
        <v>9</v>
      </c>
      <c r="C349" t="s">
        <v>109</v>
      </c>
      <c r="F349">
        <v>214</v>
      </c>
      <c r="G349">
        <v>0</v>
      </c>
      <c r="H349">
        <v>0</v>
      </c>
    </row>
    <row r="350" spans="1:8" x14ac:dyDescent="0.2">
      <c r="A350" t="s">
        <v>184</v>
      </c>
      <c r="B350" t="s">
        <v>9</v>
      </c>
      <c r="C350" t="s">
        <v>110</v>
      </c>
      <c r="F350">
        <v>183</v>
      </c>
      <c r="G350">
        <v>0</v>
      </c>
      <c r="H350">
        <v>0</v>
      </c>
    </row>
    <row r="351" spans="1:8" x14ac:dyDescent="0.2">
      <c r="A351" t="s">
        <v>184</v>
      </c>
      <c r="B351" t="s">
        <v>9</v>
      </c>
      <c r="C351" t="s">
        <v>111</v>
      </c>
      <c r="F351">
        <v>195</v>
      </c>
      <c r="G351">
        <v>0</v>
      </c>
      <c r="H351">
        <v>0</v>
      </c>
    </row>
    <row r="352" spans="1:8" x14ac:dyDescent="0.2">
      <c r="A352" t="s">
        <v>184</v>
      </c>
      <c r="B352" t="s">
        <v>9</v>
      </c>
      <c r="C352" t="s">
        <v>112</v>
      </c>
      <c r="D352" t="s">
        <v>113</v>
      </c>
      <c r="E352" t="s">
        <v>114</v>
      </c>
      <c r="F352">
        <v>300</v>
      </c>
      <c r="G352">
        <v>0</v>
      </c>
      <c r="H352">
        <v>0</v>
      </c>
    </row>
    <row r="353" spans="1:8" x14ac:dyDescent="0.2">
      <c r="A353" t="s">
        <v>184</v>
      </c>
      <c r="B353" t="s">
        <v>9</v>
      </c>
      <c r="C353" t="s">
        <v>115</v>
      </c>
      <c r="D353" t="s">
        <v>113</v>
      </c>
      <c r="E353" t="s">
        <v>114</v>
      </c>
      <c r="F353">
        <v>365</v>
      </c>
      <c r="G353">
        <v>0</v>
      </c>
      <c r="H353">
        <v>0</v>
      </c>
    </row>
    <row r="354" spans="1:8" x14ac:dyDescent="0.2">
      <c r="A354" t="s">
        <v>184</v>
      </c>
      <c r="B354" t="s">
        <v>9</v>
      </c>
      <c r="C354" t="s">
        <v>116</v>
      </c>
      <c r="D354" t="s">
        <v>113</v>
      </c>
      <c r="E354" t="s">
        <v>114</v>
      </c>
      <c r="F354">
        <v>386</v>
      </c>
      <c r="G354">
        <v>0</v>
      </c>
      <c r="H354">
        <v>0</v>
      </c>
    </row>
    <row r="355" spans="1:8" x14ac:dyDescent="0.2">
      <c r="A355" t="s">
        <v>184</v>
      </c>
      <c r="B355" t="s">
        <v>9</v>
      </c>
      <c r="C355" t="s">
        <v>117</v>
      </c>
      <c r="D355" t="s">
        <v>113</v>
      </c>
      <c r="E355" t="s">
        <v>114</v>
      </c>
      <c r="F355">
        <v>329</v>
      </c>
      <c r="G355">
        <v>0</v>
      </c>
      <c r="H355">
        <v>0</v>
      </c>
    </row>
    <row r="356" spans="1:8" x14ac:dyDescent="0.2">
      <c r="A356" t="s">
        <v>184</v>
      </c>
      <c r="B356" t="s">
        <v>9</v>
      </c>
      <c r="C356" t="s">
        <v>118</v>
      </c>
      <c r="D356" t="s">
        <v>113</v>
      </c>
      <c r="E356" t="s">
        <v>114</v>
      </c>
      <c r="F356">
        <v>410</v>
      </c>
      <c r="G356">
        <v>0</v>
      </c>
      <c r="H356">
        <v>0</v>
      </c>
    </row>
    <row r="357" spans="1:8" x14ac:dyDescent="0.2">
      <c r="A357" t="s">
        <v>184</v>
      </c>
      <c r="B357" t="s">
        <v>9</v>
      </c>
      <c r="C357" t="s">
        <v>119</v>
      </c>
      <c r="D357" t="s">
        <v>113</v>
      </c>
      <c r="E357" t="s">
        <v>114</v>
      </c>
      <c r="F357">
        <v>488</v>
      </c>
      <c r="G357">
        <v>0</v>
      </c>
      <c r="H357">
        <v>0</v>
      </c>
    </row>
    <row r="358" spans="1:8" x14ac:dyDescent="0.2">
      <c r="A358" t="s">
        <v>184</v>
      </c>
      <c r="B358" t="s">
        <v>9</v>
      </c>
      <c r="C358" t="s">
        <v>120</v>
      </c>
      <c r="D358" t="s">
        <v>113</v>
      </c>
      <c r="E358" t="s">
        <v>114</v>
      </c>
      <c r="F358">
        <v>488</v>
      </c>
      <c r="G358">
        <v>0</v>
      </c>
      <c r="H358">
        <v>0</v>
      </c>
    </row>
    <row r="359" spans="1:8" x14ac:dyDescent="0.2">
      <c r="A359" t="s">
        <v>184</v>
      </c>
      <c r="B359" t="s">
        <v>9</v>
      </c>
      <c r="C359" t="s">
        <v>121</v>
      </c>
      <c r="D359" t="s">
        <v>113</v>
      </c>
      <c r="E359" t="s">
        <v>114</v>
      </c>
      <c r="F359">
        <v>485</v>
      </c>
      <c r="G359">
        <v>0</v>
      </c>
      <c r="H359">
        <v>0</v>
      </c>
    </row>
    <row r="360" spans="1:8" x14ac:dyDescent="0.2">
      <c r="A360" t="s">
        <v>184</v>
      </c>
      <c r="B360" t="s">
        <v>9</v>
      </c>
      <c r="C360" t="s">
        <v>122</v>
      </c>
      <c r="D360" t="s">
        <v>113</v>
      </c>
      <c r="E360" t="s">
        <v>114</v>
      </c>
      <c r="F360">
        <v>494</v>
      </c>
      <c r="G360">
        <v>0</v>
      </c>
      <c r="H360">
        <v>0</v>
      </c>
    </row>
    <row r="361" spans="1:8" x14ac:dyDescent="0.2">
      <c r="A361" t="s">
        <v>184</v>
      </c>
      <c r="B361" t="s">
        <v>9</v>
      </c>
      <c r="C361" t="s">
        <v>123</v>
      </c>
      <c r="D361" t="s">
        <v>113</v>
      </c>
      <c r="E361" t="s">
        <v>114</v>
      </c>
      <c r="F361">
        <v>659</v>
      </c>
      <c r="G361">
        <v>0</v>
      </c>
      <c r="H361">
        <v>0</v>
      </c>
    </row>
    <row r="362" spans="1:8" x14ac:dyDescent="0.2">
      <c r="A362" t="s">
        <v>184</v>
      </c>
      <c r="B362" t="s">
        <v>9</v>
      </c>
      <c r="C362" t="s">
        <v>124</v>
      </c>
      <c r="D362" t="s">
        <v>113</v>
      </c>
      <c r="E362" t="s">
        <v>114</v>
      </c>
      <c r="F362">
        <v>466</v>
      </c>
      <c r="G362">
        <v>0</v>
      </c>
      <c r="H362">
        <v>0</v>
      </c>
    </row>
    <row r="363" spans="1:8" x14ac:dyDescent="0.2">
      <c r="A363" t="s">
        <v>184</v>
      </c>
      <c r="B363" t="s">
        <v>9</v>
      </c>
      <c r="C363" t="s">
        <v>125</v>
      </c>
      <c r="D363" t="s">
        <v>126</v>
      </c>
      <c r="E363" t="s">
        <v>127</v>
      </c>
      <c r="F363">
        <v>229</v>
      </c>
      <c r="G363">
        <v>0</v>
      </c>
      <c r="H363">
        <v>0</v>
      </c>
    </row>
    <row r="364" spans="1:8" x14ac:dyDescent="0.2">
      <c r="A364" t="s">
        <v>184</v>
      </c>
      <c r="B364" t="s">
        <v>9</v>
      </c>
      <c r="C364" t="s">
        <v>128</v>
      </c>
      <c r="D364" t="s">
        <v>126</v>
      </c>
      <c r="E364" t="s">
        <v>127</v>
      </c>
      <c r="F364">
        <v>220</v>
      </c>
      <c r="G364">
        <v>0</v>
      </c>
      <c r="H364">
        <v>0</v>
      </c>
    </row>
    <row r="365" spans="1:8" x14ac:dyDescent="0.2">
      <c r="A365" t="s">
        <v>184</v>
      </c>
      <c r="B365" t="s">
        <v>9</v>
      </c>
      <c r="C365" t="s">
        <v>129</v>
      </c>
      <c r="D365" t="s">
        <v>126</v>
      </c>
      <c r="E365" t="s">
        <v>127</v>
      </c>
      <c r="F365">
        <v>204</v>
      </c>
      <c r="G365">
        <v>0</v>
      </c>
      <c r="H365">
        <v>0</v>
      </c>
    </row>
    <row r="366" spans="1:8" x14ac:dyDescent="0.2">
      <c r="A366" t="s">
        <v>184</v>
      </c>
      <c r="B366" t="s">
        <v>9</v>
      </c>
      <c r="C366" t="s">
        <v>130</v>
      </c>
      <c r="D366" t="s">
        <v>126</v>
      </c>
      <c r="E366" t="s">
        <v>127</v>
      </c>
      <c r="F366">
        <v>200</v>
      </c>
      <c r="G366">
        <v>0</v>
      </c>
      <c r="H366">
        <v>0</v>
      </c>
    </row>
    <row r="367" spans="1:8" x14ac:dyDescent="0.2">
      <c r="A367" t="s">
        <v>184</v>
      </c>
      <c r="B367" t="s">
        <v>9</v>
      </c>
      <c r="C367" t="s">
        <v>131</v>
      </c>
      <c r="D367" t="s">
        <v>126</v>
      </c>
      <c r="E367" t="s">
        <v>127</v>
      </c>
      <c r="F367">
        <v>191</v>
      </c>
      <c r="G367">
        <v>0</v>
      </c>
      <c r="H367">
        <v>0</v>
      </c>
    </row>
    <row r="368" spans="1:8" x14ac:dyDescent="0.2">
      <c r="A368" t="s">
        <v>184</v>
      </c>
      <c r="B368" t="s">
        <v>9</v>
      </c>
      <c r="C368" t="s">
        <v>132</v>
      </c>
      <c r="D368" t="s">
        <v>126</v>
      </c>
      <c r="E368" t="s">
        <v>127</v>
      </c>
      <c r="F368">
        <v>190</v>
      </c>
      <c r="G368">
        <v>0</v>
      </c>
      <c r="H368">
        <v>0</v>
      </c>
    </row>
    <row r="369" spans="1:8" x14ac:dyDescent="0.2">
      <c r="A369" t="s">
        <v>184</v>
      </c>
      <c r="B369" t="s">
        <v>9</v>
      </c>
      <c r="C369" t="s">
        <v>133</v>
      </c>
      <c r="D369" t="s">
        <v>126</v>
      </c>
      <c r="E369" t="s">
        <v>127</v>
      </c>
      <c r="F369">
        <v>182</v>
      </c>
      <c r="G369">
        <v>0</v>
      </c>
      <c r="H369">
        <v>0</v>
      </c>
    </row>
    <row r="370" spans="1:8" x14ac:dyDescent="0.2">
      <c r="A370" t="s">
        <v>184</v>
      </c>
      <c r="B370" t="s">
        <v>9</v>
      </c>
      <c r="C370" t="s">
        <v>134</v>
      </c>
      <c r="D370" t="s">
        <v>135</v>
      </c>
      <c r="E370" t="s">
        <v>136</v>
      </c>
      <c r="F370">
        <v>218</v>
      </c>
      <c r="G370">
        <v>0</v>
      </c>
      <c r="H370">
        <v>0</v>
      </c>
    </row>
    <row r="371" spans="1:8" x14ac:dyDescent="0.2">
      <c r="A371" t="s">
        <v>184</v>
      </c>
      <c r="B371" t="s">
        <v>9</v>
      </c>
      <c r="C371" t="s">
        <v>137</v>
      </c>
      <c r="D371" t="s">
        <v>135</v>
      </c>
      <c r="E371" t="s">
        <v>136</v>
      </c>
      <c r="F371">
        <v>184</v>
      </c>
      <c r="G371">
        <v>0</v>
      </c>
      <c r="H371">
        <v>0</v>
      </c>
    </row>
    <row r="372" spans="1:8" x14ac:dyDescent="0.2">
      <c r="A372" t="s">
        <v>184</v>
      </c>
      <c r="B372" t="s">
        <v>9</v>
      </c>
      <c r="C372" t="s">
        <v>138</v>
      </c>
      <c r="D372" t="s">
        <v>135</v>
      </c>
      <c r="E372" t="s">
        <v>136</v>
      </c>
      <c r="F372">
        <v>181</v>
      </c>
      <c r="G372">
        <v>0</v>
      </c>
      <c r="H372">
        <v>0</v>
      </c>
    </row>
    <row r="373" spans="1:8" x14ac:dyDescent="0.2">
      <c r="A373" t="s">
        <v>184</v>
      </c>
      <c r="B373" t="s">
        <v>9</v>
      </c>
      <c r="C373" t="s">
        <v>139</v>
      </c>
      <c r="D373" t="s">
        <v>135</v>
      </c>
      <c r="E373" t="s">
        <v>136</v>
      </c>
      <c r="F373">
        <v>187</v>
      </c>
      <c r="G373">
        <v>0</v>
      </c>
      <c r="H373">
        <v>0</v>
      </c>
    </row>
    <row r="374" spans="1:8" x14ac:dyDescent="0.2">
      <c r="A374" t="s">
        <v>184</v>
      </c>
      <c r="B374" t="s">
        <v>9</v>
      </c>
      <c r="C374" t="s">
        <v>140</v>
      </c>
      <c r="D374" t="s">
        <v>135</v>
      </c>
      <c r="E374" t="s">
        <v>136</v>
      </c>
      <c r="F374">
        <v>192</v>
      </c>
      <c r="G374">
        <v>0</v>
      </c>
      <c r="H374">
        <v>0</v>
      </c>
    </row>
    <row r="375" spans="1:8" x14ac:dyDescent="0.2">
      <c r="A375" t="s">
        <v>184</v>
      </c>
      <c r="B375" t="s">
        <v>9</v>
      </c>
      <c r="C375" t="s">
        <v>141</v>
      </c>
      <c r="D375" t="s">
        <v>135</v>
      </c>
      <c r="E375" t="s">
        <v>136</v>
      </c>
      <c r="F375">
        <v>185</v>
      </c>
      <c r="G375">
        <v>0</v>
      </c>
      <c r="H375">
        <v>0</v>
      </c>
    </row>
    <row r="376" spans="1:8" x14ac:dyDescent="0.2">
      <c r="A376" t="s">
        <v>184</v>
      </c>
      <c r="B376" t="s">
        <v>9</v>
      </c>
      <c r="C376" t="s">
        <v>142</v>
      </c>
      <c r="D376" t="s">
        <v>135</v>
      </c>
      <c r="E376" t="s">
        <v>136</v>
      </c>
      <c r="F376">
        <v>212</v>
      </c>
      <c r="G376">
        <v>0</v>
      </c>
      <c r="H376">
        <v>0</v>
      </c>
    </row>
    <row r="377" spans="1:8" x14ac:dyDescent="0.2">
      <c r="A377" t="s">
        <v>184</v>
      </c>
      <c r="B377" t="s">
        <v>9</v>
      </c>
      <c r="C377" t="s">
        <v>143</v>
      </c>
      <c r="D377" t="s">
        <v>144</v>
      </c>
      <c r="E377" t="s">
        <v>145</v>
      </c>
      <c r="F377">
        <v>219</v>
      </c>
      <c r="G377">
        <v>0</v>
      </c>
      <c r="H377">
        <v>0</v>
      </c>
    </row>
    <row r="378" spans="1:8" x14ac:dyDescent="0.2">
      <c r="A378" t="s">
        <v>184</v>
      </c>
      <c r="B378" t="s">
        <v>9</v>
      </c>
      <c r="C378" t="s">
        <v>146</v>
      </c>
      <c r="D378" t="s">
        <v>144</v>
      </c>
      <c r="E378" t="s">
        <v>145</v>
      </c>
      <c r="F378">
        <v>221</v>
      </c>
      <c r="G378">
        <v>0</v>
      </c>
      <c r="H378">
        <v>0</v>
      </c>
    </row>
    <row r="379" spans="1:8" x14ac:dyDescent="0.2">
      <c r="A379" t="s">
        <v>184</v>
      </c>
      <c r="B379" t="s">
        <v>9</v>
      </c>
      <c r="C379" t="s">
        <v>147</v>
      </c>
      <c r="D379" t="s">
        <v>144</v>
      </c>
      <c r="E379" t="s">
        <v>145</v>
      </c>
      <c r="F379">
        <v>184</v>
      </c>
      <c r="G379">
        <v>0</v>
      </c>
      <c r="H379">
        <v>0</v>
      </c>
    </row>
    <row r="380" spans="1:8" x14ac:dyDescent="0.2">
      <c r="A380" t="s">
        <v>184</v>
      </c>
      <c r="B380" t="s">
        <v>9</v>
      </c>
      <c r="C380" t="s">
        <v>148</v>
      </c>
      <c r="D380" t="s">
        <v>144</v>
      </c>
      <c r="E380" t="s">
        <v>145</v>
      </c>
      <c r="F380">
        <v>194</v>
      </c>
      <c r="G380">
        <v>0</v>
      </c>
      <c r="H380">
        <v>0</v>
      </c>
    </row>
    <row r="381" spans="1:8" x14ac:dyDescent="0.2">
      <c r="A381" t="s">
        <v>184</v>
      </c>
      <c r="B381" t="s">
        <v>9</v>
      </c>
      <c r="C381" t="s">
        <v>149</v>
      </c>
      <c r="D381" t="s">
        <v>144</v>
      </c>
      <c r="E381" t="s">
        <v>145</v>
      </c>
      <c r="F381">
        <v>186</v>
      </c>
      <c r="G381">
        <v>0</v>
      </c>
      <c r="H381">
        <v>0</v>
      </c>
    </row>
    <row r="382" spans="1:8" x14ac:dyDescent="0.2">
      <c r="A382" t="s">
        <v>184</v>
      </c>
      <c r="B382" t="s">
        <v>9</v>
      </c>
      <c r="C382" t="s">
        <v>150</v>
      </c>
      <c r="D382" t="s">
        <v>144</v>
      </c>
      <c r="E382" t="s">
        <v>145</v>
      </c>
      <c r="F382">
        <v>201</v>
      </c>
      <c r="G382">
        <v>0</v>
      </c>
      <c r="H382">
        <v>0</v>
      </c>
    </row>
    <row r="383" spans="1:8" x14ac:dyDescent="0.2">
      <c r="A383" t="s">
        <v>184</v>
      </c>
      <c r="B383" t="s">
        <v>9</v>
      </c>
      <c r="C383" t="s">
        <v>151</v>
      </c>
      <c r="D383" t="s">
        <v>144</v>
      </c>
      <c r="E383" t="s">
        <v>145</v>
      </c>
      <c r="F383">
        <v>209</v>
      </c>
      <c r="G383">
        <v>0</v>
      </c>
      <c r="H383">
        <v>0</v>
      </c>
    </row>
    <row r="384" spans="1:8" x14ac:dyDescent="0.2">
      <c r="A384" t="s">
        <v>184</v>
      </c>
      <c r="B384" t="s">
        <v>9</v>
      </c>
      <c r="C384" t="s">
        <v>152</v>
      </c>
      <c r="D384" t="s">
        <v>153</v>
      </c>
      <c r="E384" t="s">
        <v>154</v>
      </c>
      <c r="F384">
        <v>172</v>
      </c>
      <c r="G384">
        <v>0</v>
      </c>
      <c r="H384">
        <v>0</v>
      </c>
    </row>
    <row r="385" spans="1:8" x14ac:dyDescent="0.2">
      <c r="A385" t="s">
        <v>184</v>
      </c>
      <c r="B385" t="s">
        <v>9</v>
      </c>
      <c r="C385" t="s">
        <v>155</v>
      </c>
      <c r="D385" t="s">
        <v>153</v>
      </c>
      <c r="E385" t="s">
        <v>154</v>
      </c>
      <c r="F385">
        <v>193</v>
      </c>
      <c r="G385">
        <v>0</v>
      </c>
      <c r="H385">
        <v>0</v>
      </c>
    </row>
    <row r="386" spans="1:8" x14ac:dyDescent="0.2">
      <c r="A386" t="s">
        <v>184</v>
      </c>
      <c r="B386" t="s">
        <v>9</v>
      </c>
      <c r="C386" t="s">
        <v>156</v>
      </c>
      <c r="D386" t="s">
        <v>153</v>
      </c>
      <c r="E386" t="s">
        <v>154</v>
      </c>
      <c r="F386">
        <v>174</v>
      </c>
      <c r="G386">
        <v>0</v>
      </c>
      <c r="H386">
        <v>0</v>
      </c>
    </row>
    <row r="387" spans="1:8" x14ac:dyDescent="0.2">
      <c r="A387" t="s">
        <v>184</v>
      </c>
      <c r="B387" t="s">
        <v>9</v>
      </c>
      <c r="C387" t="s">
        <v>157</v>
      </c>
      <c r="D387" t="s">
        <v>153</v>
      </c>
      <c r="E387" t="s">
        <v>154</v>
      </c>
      <c r="F387">
        <v>164</v>
      </c>
      <c r="G387">
        <v>0</v>
      </c>
      <c r="H387">
        <v>0</v>
      </c>
    </row>
    <row r="388" spans="1:8" x14ac:dyDescent="0.2">
      <c r="A388" t="s">
        <v>184</v>
      </c>
      <c r="B388" t="s">
        <v>9</v>
      </c>
      <c r="C388" t="s">
        <v>158</v>
      </c>
      <c r="D388" t="s">
        <v>153</v>
      </c>
      <c r="E388" t="s">
        <v>154</v>
      </c>
      <c r="F388">
        <v>175</v>
      </c>
      <c r="G388">
        <v>0</v>
      </c>
      <c r="H388">
        <v>0</v>
      </c>
    </row>
    <row r="389" spans="1:8" x14ac:dyDescent="0.2">
      <c r="A389" t="s">
        <v>184</v>
      </c>
      <c r="B389" t="s">
        <v>9</v>
      </c>
      <c r="C389" t="s">
        <v>159</v>
      </c>
      <c r="D389" t="s">
        <v>153</v>
      </c>
      <c r="E389" t="s">
        <v>154</v>
      </c>
      <c r="F389">
        <v>176</v>
      </c>
      <c r="G389">
        <v>0</v>
      </c>
      <c r="H389">
        <v>0</v>
      </c>
    </row>
    <row r="390" spans="1:8" x14ac:dyDescent="0.2">
      <c r="A390" t="s">
        <v>184</v>
      </c>
      <c r="B390" t="s">
        <v>9</v>
      </c>
      <c r="C390" t="s">
        <v>160</v>
      </c>
      <c r="D390" t="s">
        <v>153</v>
      </c>
      <c r="E390" t="s">
        <v>154</v>
      </c>
      <c r="F390">
        <v>191</v>
      </c>
      <c r="G390">
        <v>0</v>
      </c>
      <c r="H390">
        <v>0</v>
      </c>
    </row>
    <row r="391" spans="1:8" x14ac:dyDescent="0.2">
      <c r="A391" t="s">
        <v>184</v>
      </c>
      <c r="B391" t="s">
        <v>9</v>
      </c>
      <c r="C391" t="s">
        <v>161</v>
      </c>
      <c r="D391" t="s">
        <v>162</v>
      </c>
      <c r="E391" t="s">
        <v>163</v>
      </c>
      <c r="F391">
        <v>203</v>
      </c>
      <c r="G391">
        <v>0</v>
      </c>
      <c r="H391">
        <v>0</v>
      </c>
    </row>
    <row r="392" spans="1:8" x14ac:dyDescent="0.2">
      <c r="A392" t="s">
        <v>184</v>
      </c>
      <c r="B392" t="s">
        <v>9</v>
      </c>
      <c r="C392" t="s">
        <v>164</v>
      </c>
      <c r="D392" t="s">
        <v>162</v>
      </c>
      <c r="E392" t="s">
        <v>163</v>
      </c>
      <c r="F392">
        <v>206</v>
      </c>
      <c r="G392">
        <v>0</v>
      </c>
      <c r="H392">
        <v>0</v>
      </c>
    </row>
    <row r="393" spans="1:8" x14ac:dyDescent="0.2">
      <c r="A393" t="s">
        <v>184</v>
      </c>
      <c r="B393" t="s">
        <v>9</v>
      </c>
      <c r="C393" t="s">
        <v>165</v>
      </c>
      <c r="D393" t="s">
        <v>162</v>
      </c>
      <c r="E393" t="s">
        <v>163</v>
      </c>
      <c r="F393">
        <v>243</v>
      </c>
      <c r="G393">
        <v>0</v>
      </c>
      <c r="H393">
        <v>0</v>
      </c>
    </row>
    <row r="394" spans="1:8" x14ac:dyDescent="0.2">
      <c r="A394" t="s">
        <v>184</v>
      </c>
      <c r="B394" t="s">
        <v>9</v>
      </c>
      <c r="C394" t="s">
        <v>166</v>
      </c>
      <c r="D394" t="s">
        <v>162</v>
      </c>
      <c r="E394" t="s">
        <v>163</v>
      </c>
      <c r="F394">
        <v>207</v>
      </c>
      <c r="G394">
        <v>0</v>
      </c>
      <c r="H394">
        <v>0</v>
      </c>
    </row>
    <row r="395" spans="1:8" x14ac:dyDescent="0.2">
      <c r="A395" t="s">
        <v>184</v>
      </c>
      <c r="B395" t="s">
        <v>9</v>
      </c>
      <c r="C395" t="s">
        <v>167</v>
      </c>
      <c r="D395" t="s">
        <v>162</v>
      </c>
      <c r="E395" t="s">
        <v>163</v>
      </c>
      <c r="F395">
        <v>185</v>
      </c>
      <c r="G395">
        <v>0</v>
      </c>
      <c r="H395">
        <v>0</v>
      </c>
    </row>
    <row r="396" spans="1:8" x14ac:dyDescent="0.2">
      <c r="A396" t="s">
        <v>184</v>
      </c>
      <c r="B396" t="s">
        <v>9</v>
      </c>
      <c r="C396" t="s">
        <v>168</v>
      </c>
      <c r="D396" t="s">
        <v>162</v>
      </c>
      <c r="E396" t="s">
        <v>163</v>
      </c>
      <c r="F396">
        <v>195</v>
      </c>
      <c r="G396">
        <v>0</v>
      </c>
      <c r="H396">
        <v>0</v>
      </c>
    </row>
    <row r="397" spans="1:8" x14ac:dyDescent="0.2">
      <c r="A397" t="s">
        <v>184</v>
      </c>
      <c r="B397" t="s">
        <v>9</v>
      </c>
      <c r="C397" t="s">
        <v>169</v>
      </c>
      <c r="D397" t="s">
        <v>162</v>
      </c>
      <c r="E397" t="s">
        <v>163</v>
      </c>
      <c r="F397">
        <v>230</v>
      </c>
      <c r="G397">
        <v>0</v>
      </c>
      <c r="H397">
        <v>0</v>
      </c>
    </row>
    <row r="398" spans="1:8" x14ac:dyDescent="0.2">
      <c r="A398" t="s">
        <v>184</v>
      </c>
      <c r="B398" t="s">
        <v>9</v>
      </c>
      <c r="C398" t="s">
        <v>170</v>
      </c>
      <c r="D398" t="s">
        <v>171</v>
      </c>
      <c r="E398" t="s">
        <v>172</v>
      </c>
      <c r="F398">
        <v>223</v>
      </c>
      <c r="G398">
        <v>0</v>
      </c>
      <c r="H398">
        <v>0</v>
      </c>
    </row>
    <row r="399" spans="1:8" x14ac:dyDescent="0.2">
      <c r="A399" t="s">
        <v>184</v>
      </c>
      <c r="B399" t="s">
        <v>9</v>
      </c>
      <c r="C399" t="s">
        <v>173</v>
      </c>
      <c r="D399" t="s">
        <v>171</v>
      </c>
      <c r="E399" t="s">
        <v>172</v>
      </c>
      <c r="F399">
        <v>205</v>
      </c>
      <c r="G399">
        <v>0</v>
      </c>
      <c r="H399">
        <v>0</v>
      </c>
    </row>
    <row r="400" spans="1:8" x14ac:dyDescent="0.2">
      <c r="A400" t="s">
        <v>184</v>
      </c>
      <c r="B400" t="s">
        <v>9</v>
      </c>
      <c r="C400" t="s">
        <v>174</v>
      </c>
      <c r="D400" t="s">
        <v>171</v>
      </c>
      <c r="E400" t="s">
        <v>172</v>
      </c>
      <c r="F400">
        <v>207</v>
      </c>
      <c r="G400">
        <v>0</v>
      </c>
      <c r="H400">
        <v>0</v>
      </c>
    </row>
    <row r="401" spans="1:8" x14ac:dyDescent="0.2">
      <c r="A401" t="s">
        <v>184</v>
      </c>
      <c r="B401" t="s">
        <v>9</v>
      </c>
      <c r="C401" t="s">
        <v>175</v>
      </c>
      <c r="D401" t="s">
        <v>171</v>
      </c>
      <c r="E401" t="s">
        <v>172</v>
      </c>
      <c r="F401">
        <v>181</v>
      </c>
      <c r="G401">
        <v>0</v>
      </c>
      <c r="H401">
        <v>0</v>
      </c>
    </row>
    <row r="402" spans="1:8" x14ac:dyDescent="0.2">
      <c r="A402" t="s">
        <v>184</v>
      </c>
      <c r="B402" t="s">
        <v>9</v>
      </c>
      <c r="C402" t="s">
        <v>176</v>
      </c>
      <c r="D402" t="s">
        <v>171</v>
      </c>
      <c r="E402" t="s">
        <v>172</v>
      </c>
      <c r="F402">
        <v>199</v>
      </c>
      <c r="G402">
        <v>0</v>
      </c>
      <c r="H402">
        <v>0</v>
      </c>
    </row>
    <row r="403" spans="1:8" x14ac:dyDescent="0.2">
      <c r="A403" t="s">
        <v>184</v>
      </c>
      <c r="B403" t="s">
        <v>9</v>
      </c>
      <c r="C403" t="s">
        <v>177</v>
      </c>
      <c r="D403" t="s">
        <v>171</v>
      </c>
      <c r="E403" t="s">
        <v>172</v>
      </c>
      <c r="F403">
        <v>205</v>
      </c>
      <c r="G403">
        <v>0</v>
      </c>
      <c r="H403">
        <v>0</v>
      </c>
    </row>
    <row r="404" spans="1:8" x14ac:dyDescent="0.2">
      <c r="A404" t="s">
        <v>184</v>
      </c>
      <c r="B404" t="s">
        <v>9</v>
      </c>
      <c r="C404" t="s">
        <v>178</v>
      </c>
      <c r="D404" t="s">
        <v>171</v>
      </c>
      <c r="E404" t="s">
        <v>172</v>
      </c>
      <c r="F404">
        <v>215</v>
      </c>
      <c r="G404">
        <v>0</v>
      </c>
      <c r="H404">
        <v>0</v>
      </c>
    </row>
    <row r="405" spans="1:8" x14ac:dyDescent="0.2">
      <c r="A405" t="s">
        <v>184</v>
      </c>
      <c r="B405" t="s">
        <v>9</v>
      </c>
      <c r="C405" t="s">
        <v>179</v>
      </c>
      <c r="D405" t="s">
        <v>180</v>
      </c>
      <c r="E405" t="s">
        <v>181</v>
      </c>
      <c r="F405">
        <v>183</v>
      </c>
      <c r="G405">
        <v>0</v>
      </c>
      <c r="H405">
        <v>0</v>
      </c>
    </row>
    <row r="406" spans="1:8" x14ac:dyDescent="0.2">
      <c r="A406" t="s">
        <v>184</v>
      </c>
      <c r="B406" t="s">
        <v>9</v>
      </c>
      <c r="C406" t="s">
        <v>182</v>
      </c>
      <c r="D406" t="s">
        <v>180</v>
      </c>
      <c r="E406" t="s">
        <v>181</v>
      </c>
      <c r="F406">
        <v>1</v>
      </c>
      <c r="G406">
        <v>0</v>
      </c>
      <c r="H406">
        <v>0</v>
      </c>
    </row>
    <row r="407" spans="1:8" x14ac:dyDescent="0.2">
      <c r="A407" t="s">
        <v>185</v>
      </c>
      <c r="B407" t="s">
        <v>186</v>
      </c>
      <c r="C407" t="s">
        <v>10</v>
      </c>
      <c r="D407" t="s">
        <v>11</v>
      </c>
      <c r="E407" t="s">
        <v>12</v>
      </c>
      <c r="F407">
        <v>1107</v>
      </c>
      <c r="G407">
        <v>5046186</v>
      </c>
      <c r="H407">
        <v>4558.4336043360436</v>
      </c>
    </row>
    <row r="408" spans="1:8" x14ac:dyDescent="0.2">
      <c r="A408" t="s">
        <v>185</v>
      </c>
      <c r="B408" t="s">
        <v>186</v>
      </c>
      <c r="C408" t="s">
        <v>13</v>
      </c>
      <c r="D408" t="s">
        <v>11</v>
      </c>
      <c r="E408" t="s">
        <v>12</v>
      </c>
      <c r="F408">
        <v>1128</v>
      </c>
      <c r="G408">
        <v>4926434</v>
      </c>
      <c r="H408">
        <v>4367.4060283687941</v>
      </c>
    </row>
    <row r="409" spans="1:8" x14ac:dyDescent="0.2">
      <c r="A409" t="s">
        <v>185</v>
      </c>
      <c r="B409" t="s">
        <v>186</v>
      </c>
      <c r="C409" t="s">
        <v>14</v>
      </c>
      <c r="D409" t="s">
        <v>11</v>
      </c>
      <c r="E409" t="s">
        <v>12</v>
      </c>
      <c r="F409">
        <v>1072</v>
      </c>
      <c r="G409">
        <v>6310292</v>
      </c>
      <c r="H409">
        <v>5886.4664179104466</v>
      </c>
    </row>
    <row r="410" spans="1:8" x14ac:dyDescent="0.2">
      <c r="A410" t="s">
        <v>185</v>
      </c>
      <c r="B410" t="s">
        <v>186</v>
      </c>
      <c r="C410" t="s">
        <v>15</v>
      </c>
      <c r="D410" t="s">
        <v>11</v>
      </c>
      <c r="E410" t="s">
        <v>12</v>
      </c>
      <c r="F410">
        <v>1168</v>
      </c>
      <c r="G410">
        <v>13417182</v>
      </c>
      <c r="H410">
        <v>11487.313356164381</v>
      </c>
    </row>
    <row r="411" spans="1:8" x14ac:dyDescent="0.2">
      <c r="A411" t="s">
        <v>185</v>
      </c>
      <c r="B411" t="s">
        <v>186</v>
      </c>
      <c r="C411" t="s">
        <v>16</v>
      </c>
      <c r="D411" t="s">
        <v>11</v>
      </c>
      <c r="E411" t="s">
        <v>12</v>
      </c>
      <c r="F411">
        <v>1479</v>
      </c>
      <c r="G411">
        <v>18041364</v>
      </c>
      <c r="H411">
        <v>12198.35294117647</v>
      </c>
    </row>
    <row r="412" spans="1:8" x14ac:dyDescent="0.2">
      <c r="A412" t="s">
        <v>185</v>
      </c>
      <c r="B412" t="s">
        <v>186</v>
      </c>
      <c r="C412" t="s">
        <v>17</v>
      </c>
      <c r="D412" t="s">
        <v>11</v>
      </c>
      <c r="E412" t="s">
        <v>12</v>
      </c>
      <c r="F412">
        <v>2330</v>
      </c>
      <c r="G412">
        <v>19457251</v>
      </c>
      <c r="H412">
        <v>8350.7515021459221</v>
      </c>
    </row>
    <row r="413" spans="1:8" x14ac:dyDescent="0.2">
      <c r="A413" t="s">
        <v>185</v>
      </c>
      <c r="B413" t="s">
        <v>186</v>
      </c>
      <c r="C413" t="s">
        <v>18</v>
      </c>
      <c r="D413" t="s">
        <v>11</v>
      </c>
      <c r="E413" t="s">
        <v>12</v>
      </c>
      <c r="F413">
        <v>380</v>
      </c>
      <c r="G413">
        <v>1938116</v>
      </c>
      <c r="H413">
        <v>5100.3052631578948</v>
      </c>
    </row>
    <row r="414" spans="1:8" x14ac:dyDescent="0.2">
      <c r="A414" t="s">
        <v>185</v>
      </c>
      <c r="B414" t="s">
        <v>186</v>
      </c>
      <c r="C414" t="s">
        <v>19</v>
      </c>
      <c r="D414" t="s">
        <v>20</v>
      </c>
      <c r="E414" t="s">
        <v>21</v>
      </c>
      <c r="F414">
        <v>2</v>
      </c>
      <c r="G414">
        <v>0</v>
      </c>
      <c r="H414">
        <v>0</v>
      </c>
    </row>
    <row r="415" spans="1:8" x14ac:dyDescent="0.2">
      <c r="A415" t="s">
        <v>185</v>
      </c>
      <c r="B415" t="s">
        <v>186</v>
      </c>
      <c r="C415" t="s">
        <v>22</v>
      </c>
      <c r="D415" t="s">
        <v>20</v>
      </c>
      <c r="E415" t="s">
        <v>21</v>
      </c>
      <c r="F415">
        <v>1</v>
      </c>
      <c r="G415">
        <v>0</v>
      </c>
      <c r="H415">
        <v>0</v>
      </c>
    </row>
    <row r="416" spans="1:8" x14ac:dyDescent="0.2">
      <c r="A416" t="s">
        <v>185</v>
      </c>
      <c r="B416" t="s">
        <v>186</v>
      </c>
      <c r="C416" t="s">
        <v>23</v>
      </c>
      <c r="D416" t="s">
        <v>20</v>
      </c>
      <c r="E416" t="s">
        <v>21</v>
      </c>
      <c r="F416">
        <v>1</v>
      </c>
      <c r="G416">
        <v>0</v>
      </c>
      <c r="H416">
        <v>0</v>
      </c>
    </row>
    <row r="417" spans="1:8" x14ac:dyDescent="0.2">
      <c r="A417" t="s">
        <v>185</v>
      </c>
      <c r="B417" t="s">
        <v>186</v>
      </c>
      <c r="C417" t="s">
        <v>24</v>
      </c>
      <c r="D417" t="s">
        <v>20</v>
      </c>
      <c r="E417" t="s">
        <v>21</v>
      </c>
      <c r="F417">
        <v>1</v>
      </c>
      <c r="G417">
        <v>0</v>
      </c>
      <c r="H417">
        <v>0</v>
      </c>
    </row>
    <row r="418" spans="1:8" x14ac:dyDescent="0.2">
      <c r="A418" t="s">
        <v>185</v>
      </c>
      <c r="B418" t="s">
        <v>186</v>
      </c>
      <c r="C418" t="s">
        <v>25</v>
      </c>
      <c r="D418" t="s">
        <v>20</v>
      </c>
      <c r="E418" t="s">
        <v>21</v>
      </c>
      <c r="F418">
        <v>0</v>
      </c>
      <c r="G418">
        <v>0</v>
      </c>
      <c r="H418">
        <v>0</v>
      </c>
    </row>
    <row r="419" spans="1:8" x14ac:dyDescent="0.2">
      <c r="A419" t="s">
        <v>185</v>
      </c>
      <c r="B419" t="s">
        <v>186</v>
      </c>
      <c r="C419" t="s">
        <v>26</v>
      </c>
      <c r="D419" t="s">
        <v>20</v>
      </c>
      <c r="E419" t="s">
        <v>21</v>
      </c>
      <c r="F419">
        <v>0</v>
      </c>
      <c r="G419">
        <v>0</v>
      </c>
      <c r="H419">
        <v>0</v>
      </c>
    </row>
    <row r="420" spans="1:8" x14ac:dyDescent="0.2">
      <c r="A420" t="s">
        <v>185</v>
      </c>
      <c r="B420" t="s">
        <v>186</v>
      </c>
      <c r="C420" t="s">
        <v>27</v>
      </c>
      <c r="D420" t="s">
        <v>20</v>
      </c>
      <c r="E420" t="s">
        <v>21</v>
      </c>
      <c r="F420">
        <v>0</v>
      </c>
      <c r="G420">
        <v>0</v>
      </c>
      <c r="H420">
        <v>0</v>
      </c>
    </row>
    <row r="421" spans="1:8" x14ac:dyDescent="0.2">
      <c r="A421" t="s">
        <v>185</v>
      </c>
      <c r="B421" t="s">
        <v>186</v>
      </c>
      <c r="C421" t="s">
        <v>28</v>
      </c>
      <c r="D421" t="s">
        <v>29</v>
      </c>
      <c r="E421" t="s">
        <v>30</v>
      </c>
      <c r="F421">
        <v>0</v>
      </c>
      <c r="G421">
        <v>0</v>
      </c>
      <c r="H421">
        <v>0</v>
      </c>
    </row>
    <row r="422" spans="1:8" x14ac:dyDescent="0.2">
      <c r="A422" t="s">
        <v>185</v>
      </c>
      <c r="B422" t="s">
        <v>186</v>
      </c>
      <c r="C422" t="s">
        <v>31</v>
      </c>
      <c r="D422" t="s">
        <v>29</v>
      </c>
      <c r="E422" t="s">
        <v>30</v>
      </c>
      <c r="F422">
        <v>0</v>
      </c>
      <c r="G422">
        <v>0</v>
      </c>
      <c r="H422">
        <v>0</v>
      </c>
    </row>
    <row r="423" spans="1:8" x14ac:dyDescent="0.2">
      <c r="A423" t="s">
        <v>185</v>
      </c>
      <c r="B423" t="s">
        <v>186</v>
      </c>
      <c r="C423" t="s">
        <v>32</v>
      </c>
      <c r="D423" t="s">
        <v>29</v>
      </c>
      <c r="E423" t="s">
        <v>30</v>
      </c>
      <c r="F423">
        <v>0</v>
      </c>
      <c r="G423">
        <v>0</v>
      </c>
      <c r="H423">
        <v>0</v>
      </c>
    </row>
    <row r="424" spans="1:8" x14ac:dyDescent="0.2">
      <c r="A424" t="s">
        <v>185</v>
      </c>
      <c r="B424" t="s">
        <v>186</v>
      </c>
      <c r="C424" t="s">
        <v>33</v>
      </c>
      <c r="D424" t="s">
        <v>29</v>
      </c>
      <c r="E424" t="s">
        <v>30</v>
      </c>
      <c r="F424">
        <v>1</v>
      </c>
      <c r="G424">
        <v>0</v>
      </c>
      <c r="H424">
        <v>0</v>
      </c>
    </row>
    <row r="425" spans="1:8" x14ac:dyDescent="0.2">
      <c r="A425" t="s">
        <v>185</v>
      </c>
      <c r="B425" t="s">
        <v>186</v>
      </c>
      <c r="C425" t="s">
        <v>34</v>
      </c>
      <c r="D425" t="s">
        <v>29</v>
      </c>
      <c r="E425" t="s">
        <v>30</v>
      </c>
      <c r="F425">
        <v>3</v>
      </c>
      <c r="G425">
        <v>0</v>
      </c>
      <c r="H425">
        <v>0</v>
      </c>
    </row>
    <row r="426" spans="1:8" x14ac:dyDescent="0.2">
      <c r="A426" t="s">
        <v>185</v>
      </c>
      <c r="B426" t="s">
        <v>186</v>
      </c>
      <c r="C426" t="s">
        <v>35</v>
      </c>
      <c r="D426" t="s">
        <v>29</v>
      </c>
      <c r="E426" t="s">
        <v>30</v>
      </c>
      <c r="F426">
        <v>1</v>
      </c>
      <c r="G426">
        <v>0</v>
      </c>
      <c r="H426">
        <v>0</v>
      </c>
    </row>
    <row r="427" spans="1:8" x14ac:dyDescent="0.2">
      <c r="A427" t="s">
        <v>185</v>
      </c>
      <c r="B427" t="s">
        <v>186</v>
      </c>
      <c r="C427" t="s">
        <v>36</v>
      </c>
      <c r="D427" t="s">
        <v>29</v>
      </c>
      <c r="E427" t="s">
        <v>30</v>
      </c>
      <c r="F427">
        <v>0</v>
      </c>
      <c r="G427">
        <v>0</v>
      </c>
      <c r="H427">
        <v>0</v>
      </c>
    </row>
    <row r="428" spans="1:8" x14ac:dyDescent="0.2">
      <c r="A428" t="s">
        <v>185</v>
      </c>
      <c r="B428" t="s">
        <v>186</v>
      </c>
      <c r="C428" t="s">
        <v>37</v>
      </c>
      <c r="D428" t="s">
        <v>38</v>
      </c>
      <c r="E428" t="s">
        <v>39</v>
      </c>
      <c r="F428">
        <v>0</v>
      </c>
      <c r="G428">
        <v>0</v>
      </c>
      <c r="H428">
        <v>0</v>
      </c>
    </row>
    <row r="429" spans="1:8" x14ac:dyDescent="0.2">
      <c r="A429" t="s">
        <v>185</v>
      </c>
      <c r="B429" t="s">
        <v>186</v>
      </c>
      <c r="C429" t="s">
        <v>40</v>
      </c>
      <c r="D429" t="s">
        <v>38</v>
      </c>
      <c r="E429" t="s">
        <v>39</v>
      </c>
      <c r="F429">
        <v>0</v>
      </c>
      <c r="G429">
        <v>0</v>
      </c>
      <c r="H429">
        <v>0</v>
      </c>
    </row>
    <row r="430" spans="1:8" x14ac:dyDescent="0.2">
      <c r="A430" t="s">
        <v>185</v>
      </c>
      <c r="B430" t="s">
        <v>186</v>
      </c>
      <c r="C430" t="s">
        <v>41</v>
      </c>
      <c r="D430" t="s">
        <v>38</v>
      </c>
      <c r="E430" t="s">
        <v>39</v>
      </c>
      <c r="F430">
        <v>32</v>
      </c>
      <c r="G430">
        <v>0</v>
      </c>
      <c r="H430">
        <v>0</v>
      </c>
    </row>
    <row r="431" spans="1:8" x14ac:dyDescent="0.2">
      <c r="A431" t="s">
        <v>185</v>
      </c>
      <c r="B431" t="s">
        <v>186</v>
      </c>
      <c r="C431" t="s">
        <v>42</v>
      </c>
      <c r="D431" t="s">
        <v>38</v>
      </c>
      <c r="E431" t="s">
        <v>39</v>
      </c>
      <c r="F431">
        <v>43</v>
      </c>
      <c r="G431">
        <v>0</v>
      </c>
      <c r="H431">
        <v>0</v>
      </c>
    </row>
    <row r="432" spans="1:8" x14ac:dyDescent="0.2">
      <c r="A432" t="s">
        <v>185</v>
      </c>
      <c r="B432" t="s">
        <v>186</v>
      </c>
      <c r="C432" t="s">
        <v>43</v>
      </c>
      <c r="D432" t="s">
        <v>38</v>
      </c>
      <c r="E432" t="s">
        <v>39</v>
      </c>
      <c r="F432">
        <v>37</v>
      </c>
      <c r="G432">
        <v>0</v>
      </c>
      <c r="H432">
        <v>0</v>
      </c>
    </row>
    <row r="433" spans="1:8" x14ac:dyDescent="0.2">
      <c r="A433" t="s">
        <v>185</v>
      </c>
      <c r="B433" t="s">
        <v>186</v>
      </c>
      <c r="C433" t="s">
        <v>44</v>
      </c>
      <c r="D433" t="s">
        <v>38</v>
      </c>
      <c r="E433" t="s">
        <v>39</v>
      </c>
      <c r="F433">
        <v>41</v>
      </c>
      <c r="G433">
        <v>0</v>
      </c>
      <c r="H433">
        <v>0</v>
      </c>
    </row>
    <row r="434" spans="1:8" x14ac:dyDescent="0.2">
      <c r="A434" t="s">
        <v>185</v>
      </c>
      <c r="B434" t="s">
        <v>186</v>
      </c>
      <c r="C434" t="s">
        <v>45</v>
      </c>
      <c r="D434" t="s">
        <v>38</v>
      </c>
      <c r="E434" t="s">
        <v>39</v>
      </c>
      <c r="F434">
        <v>25</v>
      </c>
      <c r="G434">
        <v>0</v>
      </c>
      <c r="H434">
        <v>0</v>
      </c>
    </row>
    <row r="435" spans="1:8" x14ac:dyDescent="0.2">
      <c r="A435" t="s">
        <v>185</v>
      </c>
      <c r="B435" t="s">
        <v>186</v>
      </c>
      <c r="C435" t="s">
        <v>46</v>
      </c>
      <c r="D435" t="s">
        <v>47</v>
      </c>
      <c r="E435" t="s">
        <v>48</v>
      </c>
      <c r="F435">
        <v>42</v>
      </c>
      <c r="G435">
        <v>0</v>
      </c>
      <c r="H435">
        <v>0</v>
      </c>
    </row>
    <row r="436" spans="1:8" x14ac:dyDescent="0.2">
      <c r="A436" t="s">
        <v>185</v>
      </c>
      <c r="B436" t="s">
        <v>186</v>
      </c>
      <c r="C436" t="s">
        <v>49</v>
      </c>
      <c r="D436" t="s">
        <v>47</v>
      </c>
      <c r="E436" t="s">
        <v>48</v>
      </c>
      <c r="F436">
        <v>7</v>
      </c>
      <c r="G436">
        <v>0</v>
      </c>
      <c r="H436">
        <v>0</v>
      </c>
    </row>
    <row r="437" spans="1:8" x14ac:dyDescent="0.2">
      <c r="A437" t="s">
        <v>185</v>
      </c>
      <c r="B437" t="s">
        <v>186</v>
      </c>
      <c r="C437" t="s">
        <v>50</v>
      </c>
      <c r="D437" t="s">
        <v>47</v>
      </c>
      <c r="E437" t="s">
        <v>48</v>
      </c>
      <c r="F437">
        <v>1</v>
      </c>
      <c r="G437">
        <v>0</v>
      </c>
      <c r="H437">
        <v>0</v>
      </c>
    </row>
    <row r="438" spans="1:8" x14ac:dyDescent="0.2">
      <c r="A438" t="s">
        <v>185</v>
      </c>
      <c r="B438" t="s">
        <v>186</v>
      </c>
      <c r="C438" t="s">
        <v>51</v>
      </c>
      <c r="D438" t="s">
        <v>47</v>
      </c>
      <c r="E438" t="s">
        <v>48</v>
      </c>
      <c r="F438">
        <v>1</v>
      </c>
      <c r="G438">
        <v>0</v>
      </c>
      <c r="H438">
        <v>0</v>
      </c>
    </row>
    <row r="439" spans="1:8" x14ac:dyDescent="0.2">
      <c r="A439" t="s">
        <v>185</v>
      </c>
      <c r="B439" t="s">
        <v>186</v>
      </c>
      <c r="C439" t="s">
        <v>52</v>
      </c>
      <c r="D439" t="s">
        <v>47</v>
      </c>
      <c r="E439" t="s">
        <v>48</v>
      </c>
      <c r="F439">
        <v>0</v>
      </c>
      <c r="G439">
        <v>0</v>
      </c>
      <c r="H439">
        <v>0</v>
      </c>
    </row>
    <row r="440" spans="1:8" x14ac:dyDescent="0.2">
      <c r="A440" t="s">
        <v>185</v>
      </c>
      <c r="B440" t="s">
        <v>186</v>
      </c>
      <c r="C440" t="s">
        <v>53</v>
      </c>
      <c r="D440" t="s">
        <v>47</v>
      </c>
      <c r="E440" t="s">
        <v>48</v>
      </c>
      <c r="F440">
        <v>0</v>
      </c>
      <c r="G440">
        <v>0</v>
      </c>
      <c r="H440">
        <v>0</v>
      </c>
    </row>
    <row r="441" spans="1:8" x14ac:dyDescent="0.2">
      <c r="A441" t="s">
        <v>185</v>
      </c>
      <c r="B441" t="s">
        <v>186</v>
      </c>
      <c r="C441" t="s">
        <v>54</v>
      </c>
      <c r="D441" t="s">
        <v>47</v>
      </c>
      <c r="E441" t="s">
        <v>48</v>
      </c>
      <c r="F441">
        <v>0</v>
      </c>
      <c r="G441">
        <v>0</v>
      </c>
      <c r="H441">
        <v>0</v>
      </c>
    </row>
    <row r="442" spans="1:8" x14ac:dyDescent="0.2">
      <c r="A442" t="s">
        <v>185</v>
      </c>
      <c r="B442" t="s">
        <v>186</v>
      </c>
      <c r="C442" t="s">
        <v>55</v>
      </c>
      <c r="D442" t="s">
        <v>56</v>
      </c>
      <c r="E442" t="s">
        <v>57</v>
      </c>
      <c r="F442">
        <v>1</v>
      </c>
      <c r="G442">
        <v>0</v>
      </c>
      <c r="H442">
        <v>0</v>
      </c>
    </row>
    <row r="443" spans="1:8" x14ac:dyDescent="0.2">
      <c r="A443" t="s">
        <v>185</v>
      </c>
      <c r="B443" t="s">
        <v>186</v>
      </c>
      <c r="C443" t="s">
        <v>58</v>
      </c>
      <c r="D443" t="s">
        <v>56</v>
      </c>
      <c r="E443" t="s">
        <v>57</v>
      </c>
      <c r="F443">
        <v>2</v>
      </c>
      <c r="G443">
        <v>0</v>
      </c>
      <c r="H443">
        <v>0</v>
      </c>
    </row>
    <row r="444" spans="1:8" x14ac:dyDescent="0.2">
      <c r="A444" t="s">
        <v>185</v>
      </c>
      <c r="B444" t="s">
        <v>186</v>
      </c>
      <c r="C444" t="s">
        <v>59</v>
      </c>
      <c r="D444" t="s">
        <v>56</v>
      </c>
      <c r="E444" t="s">
        <v>57</v>
      </c>
      <c r="F444">
        <v>0</v>
      </c>
      <c r="G444">
        <v>0</v>
      </c>
      <c r="H444">
        <v>0</v>
      </c>
    </row>
    <row r="445" spans="1:8" x14ac:dyDescent="0.2">
      <c r="A445" t="s">
        <v>185</v>
      </c>
      <c r="B445" t="s">
        <v>186</v>
      </c>
      <c r="C445" t="s">
        <v>60</v>
      </c>
      <c r="D445" t="s">
        <v>56</v>
      </c>
      <c r="E445" t="s">
        <v>57</v>
      </c>
      <c r="F445">
        <v>0</v>
      </c>
      <c r="G445">
        <v>0</v>
      </c>
      <c r="H445">
        <v>0</v>
      </c>
    </row>
    <row r="446" spans="1:8" x14ac:dyDescent="0.2">
      <c r="A446" t="s">
        <v>185</v>
      </c>
      <c r="B446" t="s">
        <v>186</v>
      </c>
      <c r="C446" t="s">
        <v>61</v>
      </c>
      <c r="D446" t="s">
        <v>56</v>
      </c>
      <c r="E446" t="s">
        <v>57</v>
      </c>
      <c r="F446">
        <v>1</v>
      </c>
      <c r="G446">
        <v>0</v>
      </c>
      <c r="H446">
        <v>0</v>
      </c>
    </row>
    <row r="447" spans="1:8" x14ac:dyDescent="0.2">
      <c r="A447" t="s">
        <v>185</v>
      </c>
      <c r="B447" t="s">
        <v>186</v>
      </c>
      <c r="C447" t="s">
        <v>62</v>
      </c>
      <c r="D447" t="s">
        <v>56</v>
      </c>
      <c r="E447" t="s">
        <v>57</v>
      </c>
      <c r="F447">
        <v>1</v>
      </c>
      <c r="G447">
        <v>0</v>
      </c>
      <c r="H447">
        <v>0</v>
      </c>
    </row>
    <row r="448" spans="1:8" x14ac:dyDescent="0.2">
      <c r="A448" t="s">
        <v>185</v>
      </c>
      <c r="B448" t="s">
        <v>186</v>
      </c>
      <c r="C448" t="s">
        <v>63</v>
      </c>
      <c r="D448" t="s">
        <v>56</v>
      </c>
      <c r="E448" t="s">
        <v>57</v>
      </c>
      <c r="F448">
        <v>8</v>
      </c>
      <c r="G448">
        <v>0</v>
      </c>
      <c r="H448">
        <v>0</v>
      </c>
    </row>
    <row r="449" spans="1:8" x14ac:dyDescent="0.2">
      <c r="A449" t="s">
        <v>185</v>
      </c>
      <c r="B449" t="s">
        <v>186</v>
      </c>
      <c r="C449" t="s">
        <v>64</v>
      </c>
      <c r="D449" t="s">
        <v>65</v>
      </c>
      <c r="E449" t="s">
        <v>66</v>
      </c>
      <c r="F449">
        <v>7</v>
      </c>
      <c r="G449">
        <v>0</v>
      </c>
      <c r="H449">
        <v>0</v>
      </c>
    </row>
    <row r="450" spans="1:8" x14ac:dyDescent="0.2">
      <c r="A450" t="s">
        <v>185</v>
      </c>
      <c r="B450" t="s">
        <v>186</v>
      </c>
      <c r="C450" t="s">
        <v>67</v>
      </c>
      <c r="D450" t="s">
        <v>65</v>
      </c>
      <c r="E450" t="s">
        <v>66</v>
      </c>
      <c r="F450">
        <v>8</v>
      </c>
      <c r="G450">
        <v>0</v>
      </c>
      <c r="H450">
        <v>0</v>
      </c>
    </row>
    <row r="451" spans="1:8" x14ac:dyDescent="0.2">
      <c r="A451" t="s">
        <v>185</v>
      </c>
      <c r="B451" t="s">
        <v>186</v>
      </c>
      <c r="C451" t="s">
        <v>68</v>
      </c>
      <c r="D451" t="s">
        <v>65</v>
      </c>
      <c r="E451" t="s">
        <v>66</v>
      </c>
      <c r="F451">
        <v>12</v>
      </c>
      <c r="G451">
        <v>0</v>
      </c>
      <c r="H451">
        <v>0</v>
      </c>
    </row>
    <row r="452" spans="1:8" x14ac:dyDescent="0.2">
      <c r="A452" t="s">
        <v>185</v>
      </c>
      <c r="B452" t="s">
        <v>186</v>
      </c>
      <c r="C452" t="s">
        <v>69</v>
      </c>
      <c r="D452" t="s">
        <v>65</v>
      </c>
      <c r="E452" t="s">
        <v>66</v>
      </c>
      <c r="F452">
        <v>2</v>
      </c>
      <c r="G452">
        <v>0</v>
      </c>
      <c r="H452">
        <v>0</v>
      </c>
    </row>
    <row r="453" spans="1:8" x14ac:dyDescent="0.2">
      <c r="A453" t="s">
        <v>185</v>
      </c>
      <c r="B453" t="s">
        <v>186</v>
      </c>
      <c r="C453" t="s">
        <v>70</v>
      </c>
      <c r="D453" t="s">
        <v>65</v>
      </c>
      <c r="E453" t="s">
        <v>66</v>
      </c>
      <c r="F453">
        <v>5</v>
      </c>
      <c r="G453">
        <v>0</v>
      </c>
      <c r="H453">
        <v>0</v>
      </c>
    </row>
    <row r="454" spans="1:8" x14ac:dyDescent="0.2">
      <c r="A454" t="s">
        <v>185</v>
      </c>
      <c r="B454" t="s">
        <v>186</v>
      </c>
      <c r="C454" t="s">
        <v>71</v>
      </c>
      <c r="D454" t="s">
        <v>65</v>
      </c>
      <c r="E454" t="s">
        <v>66</v>
      </c>
      <c r="F454">
        <v>11</v>
      </c>
      <c r="G454">
        <v>0</v>
      </c>
      <c r="H454">
        <v>0</v>
      </c>
    </row>
    <row r="455" spans="1:8" x14ac:dyDescent="0.2">
      <c r="A455" t="s">
        <v>185</v>
      </c>
      <c r="B455" t="s">
        <v>186</v>
      </c>
      <c r="C455" t="s">
        <v>72</v>
      </c>
      <c r="D455" t="s">
        <v>65</v>
      </c>
      <c r="E455" t="s">
        <v>66</v>
      </c>
      <c r="F455">
        <v>6</v>
      </c>
      <c r="G455">
        <v>0</v>
      </c>
      <c r="H455">
        <v>0</v>
      </c>
    </row>
    <row r="456" spans="1:8" x14ac:dyDescent="0.2">
      <c r="A456" t="s">
        <v>185</v>
      </c>
      <c r="B456" t="s">
        <v>186</v>
      </c>
      <c r="C456" t="s">
        <v>73</v>
      </c>
      <c r="D456" t="s">
        <v>74</v>
      </c>
      <c r="E456" t="s">
        <v>75</v>
      </c>
      <c r="F456">
        <v>3</v>
      </c>
      <c r="G456">
        <v>0</v>
      </c>
      <c r="H456">
        <v>0</v>
      </c>
    </row>
    <row r="457" spans="1:8" x14ac:dyDescent="0.2">
      <c r="A457" t="s">
        <v>185</v>
      </c>
      <c r="B457" t="s">
        <v>186</v>
      </c>
      <c r="C457" t="s">
        <v>76</v>
      </c>
      <c r="D457" t="s">
        <v>74</v>
      </c>
      <c r="E457" t="s">
        <v>75</v>
      </c>
      <c r="F457">
        <v>6</v>
      </c>
      <c r="G457">
        <v>0</v>
      </c>
      <c r="H457">
        <v>0</v>
      </c>
    </row>
    <row r="458" spans="1:8" x14ac:dyDescent="0.2">
      <c r="A458" t="s">
        <v>185</v>
      </c>
      <c r="B458" t="s">
        <v>186</v>
      </c>
      <c r="C458" t="s">
        <v>77</v>
      </c>
      <c r="D458" t="s">
        <v>74</v>
      </c>
      <c r="E458" t="s">
        <v>75</v>
      </c>
      <c r="F458">
        <v>4</v>
      </c>
      <c r="G458">
        <v>0</v>
      </c>
      <c r="H458">
        <v>0</v>
      </c>
    </row>
    <row r="459" spans="1:8" x14ac:dyDescent="0.2">
      <c r="A459" t="s">
        <v>185</v>
      </c>
      <c r="B459" t="s">
        <v>186</v>
      </c>
      <c r="C459" t="s">
        <v>78</v>
      </c>
      <c r="D459" t="s">
        <v>74</v>
      </c>
      <c r="E459" t="s">
        <v>75</v>
      </c>
      <c r="F459">
        <v>8</v>
      </c>
      <c r="G459">
        <v>0</v>
      </c>
      <c r="H459">
        <v>0</v>
      </c>
    </row>
    <row r="460" spans="1:8" x14ac:dyDescent="0.2">
      <c r="A460" t="s">
        <v>185</v>
      </c>
      <c r="B460" t="s">
        <v>186</v>
      </c>
      <c r="C460" t="s">
        <v>79</v>
      </c>
      <c r="D460" t="s">
        <v>74</v>
      </c>
      <c r="E460" t="s">
        <v>75</v>
      </c>
      <c r="F460">
        <v>4</v>
      </c>
      <c r="G460">
        <v>0</v>
      </c>
      <c r="H460">
        <v>0</v>
      </c>
    </row>
    <row r="461" spans="1:8" x14ac:dyDescent="0.2">
      <c r="A461" t="s">
        <v>185</v>
      </c>
      <c r="B461" t="s">
        <v>186</v>
      </c>
      <c r="C461" t="s">
        <v>80</v>
      </c>
      <c r="D461" t="s">
        <v>74</v>
      </c>
      <c r="E461" t="s">
        <v>75</v>
      </c>
      <c r="F461">
        <v>3</v>
      </c>
      <c r="G461">
        <v>0</v>
      </c>
      <c r="H461">
        <v>0</v>
      </c>
    </row>
    <row r="462" spans="1:8" x14ac:dyDescent="0.2">
      <c r="A462" t="s">
        <v>185</v>
      </c>
      <c r="B462" t="s">
        <v>186</v>
      </c>
      <c r="C462" t="s">
        <v>81</v>
      </c>
      <c r="D462" t="s">
        <v>74</v>
      </c>
      <c r="E462" t="s">
        <v>75</v>
      </c>
      <c r="F462">
        <v>0</v>
      </c>
      <c r="G462">
        <v>0</v>
      </c>
      <c r="H462">
        <v>0</v>
      </c>
    </row>
    <row r="463" spans="1:8" x14ac:dyDescent="0.2">
      <c r="A463" t="s">
        <v>185</v>
      </c>
      <c r="B463" t="s">
        <v>186</v>
      </c>
      <c r="C463" t="s">
        <v>82</v>
      </c>
      <c r="D463" t="s">
        <v>83</v>
      </c>
      <c r="E463" t="s">
        <v>84</v>
      </c>
      <c r="F463">
        <v>3</v>
      </c>
      <c r="G463">
        <v>0</v>
      </c>
      <c r="H463">
        <v>0</v>
      </c>
    </row>
    <row r="464" spans="1:8" x14ac:dyDescent="0.2">
      <c r="A464" t="s">
        <v>185</v>
      </c>
      <c r="B464" t="s">
        <v>186</v>
      </c>
      <c r="C464" t="s">
        <v>85</v>
      </c>
      <c r="D464" t="s">
        <v>83</v>
      </c>
      <c r="E464" t="s">
        <v>84</v>
      </c>
      <c r="F464">
        <v>4</v>
      </c>
      <c r="G464">
        <v>0</v>
      </c>
      <c r="H464">
        <v>0</v>
      </c>
    </row>
    <row r="465" spans="1:8" x14ac:dyDescent="0.2">
      <c r="A465" t="s">
        <v>185</v>
      </c>
      <c r="B465" t="s">
        <v>186</v>
      </c>
      <c r="C465" t="s">
        <v>86</v>
      </c>
      <c r="D465" t="s">
        <v>83</v>
      </c>
      <c r="E465" t="s">
        <v>84</v>
      </c>
      <c r="F465">
        <v>6</v>
      </c>
      <c r="G465">
        <v>0</v>
      </c>
      <c r="H465">
        <v>0</v>
      </c>
    </row>
    <row r="466" spans="1:8" x14ac:dyDescent="0.2">
      <c r="A466" t="s">
        <v>185</v>
      </c>
      <c r="B466" t="s">
        <v>186</v>
      </c>
      <c r="C466" t="s">
        <v>87</v>
      </c>
      <c r="D466" t="s">
        <v>83</v>
      </c>
      <c r="E466" t="s">
        <v>84</v>
      </c>
      <c r="F466">
        <v>3</v>
      </c>
      <c r="G466">
        <v>0</v>
      </c>
      <c r="H466">
        <v>0</v>
      </c>
    </row>
    <row r="467" spans="1:8" x14ac:dyDescent="0.2">
      <c r="A467" t="s">
        <v>185</v>
      </c>
      <c r="B467" t="s">
        <v>186</v>
      </c>
      <c r="C467" t="s">
        <v>88</v>
      </c>
      <c r="D467" t="s">
        <v>83</v>
      </c>
      <c r="E467" t="s">
        <v>84</v>
      </c>
      <c r="F467">
        <v>0</v>
      </c>
      <c r="G467">
        <v>0</v>
      </c>
      <c r="H467">
        <v>0</v>
      </c>
    </row>
    <row r="468" spans="1:8" x14ac:dyDescent="0.2">
      <c r="A468" t="s">
        <v>185</v>
      </c>
      <c r="B468" t="s">
        <v>186</v>
      </c>
      <c r="C468" t="s">
        <v>89</v>
      </c>
      <c r="D468" t="s">
        <v>83</v>
      </c>
      <c r="E468" t="s">
        <v>84</v>
      </c>
      <c r="F468">
        <v>0</v>
      </c>
      <c r="G468">
        <v>0</v>
      </c>
      <c r="H468">
        <v>0</v>
      </c>
    </row>
    <row r="469" spans="1:8" x14ac:dyDescent="0.2">
      <c r="A469" t="s">
        <v>185</v>
      </c>
      <c r="B469" t="s">
        <v>186</v>
      </c>
      <c r="C469" t="s">
        <v>90</v>
      </c>
      <c r="D469" t="s">
        <v>83</v>
      </c>
      <c r="E469" t="s">
        <v>84</v>
      </c>
      <c r="F469">
        <v>13</v>
      </c>
      <c r="G469">
        <v>295595</v>
      </c>
      <c r="H469">
        <v>22738.076923076918</v>
      </c>
    </row>
    <row r="470" spans="1:8" x14ac:dyDescent="0.2">
      <c r="A470" t="s">
        <v>185</v>
      </c>
      <c r="B470" t="s">
        <v>186</v>
      </c>
      <c r="C470" t="s">
        <v>91</v>
      </c>
      <c r="D470" t="s">
        <v>92</v>
      </c>
      <c r="E470" t="s">
        <v>93</v>
      </c>
      <c r="F470">
        <v>36</v>
      </c>
      <c r="G470">
        <v>546673</v>
      </c>
      <c r="H470">
        <v>15185.361111111109</v>
      </c>
    </row>
    <row r="471" spans="1:8" x14ac:dyDescent="0.2">
      <c r="A471" t="s">
        <v>185</v>
      </c>
      <c r="B471" t="s">
        <v>186</v>
      </c>
      <c r="C471" t="s">
        <v>94</v>
      </c>
      <c r="D471" t="s">
        <v>92</v>
      </c>
      <c r="E471" t="s">
        <v>93</v>
      </c>
      <c r="F471">
        <v>24</v>
      </c>
      <c r="G471">
        <v>408881</v>
      </c>
      <c r="H471">
        <v>17036.708333333328</v>
      </c>
    </row>
    <row r="472" spans="1:8" x14ac:dyDescent="0.2">
      <c r="A472" t="s">
        <v>185</v>
      </c>
      <c r="B472" t="s">
        <v>186</v>
      </c>
      <c r="C472" t="s">
        <v>95</v>
      </c>
      <c r="D472" t="s">
        <v>92</v>
      </c>
      <c r="E472" t="s">
        <v>93</v>
      </c>
      <c r="F472">
        <v>27</v>
      </c>
      <c r="G472">
        <v>544498</v>
      </c>
      <c r="H472">
        <v>20166.592592592591</v>
      </c>
    </row>
    <row r="473" spans="1:8" x14ac:dyDescent="0.2">
      <c r="A473" t="s">
        <v>185</v>
      </c>
      <c r="B473" t="s">
        <v>186</v>
      </c>
      <c r="C473" t="s">
        <v>96</v>
      </c>
      <c r="D473" t="s">
        <v>92</v>
      </c>
      <c r="E473" t="s">
        <v>93</v>
      </c>
      <c r="F473">
        <v>23</v>
      </c>
      <c r="G473">
        <v>519642</v>
      </c>
      <c r="H473">
        <v>22593.130434782612</v>
      </c>
    </row>
    <row r="474" spans="1:8" x14ac:dyDescent="0.2">
      <c r="A474" t="s">
        <v>185</v>
      </c>
      <c r="B474" t="s">
        <v>186</v>
      </c>
      <c r="C474" t="s">
        <v>97</v>
      </c>
      <c r="D474" t="s">
        <v>92</v>
      </c>
      <c r="E474" t="s">
        <v>93</v>
      </c>
      <c r="F474">
        <v>26</v>
      </c>
      <c r="G474">
        <v>536180</v>
      </c>
      <c r="H474">
        <v>20622.307692307691</v>
      </c>
    </row>
    <row r="475" spans="1:8" x14ac:dyDescent="0.2">
      <c r="A475" t="s">
        <v>185</v>
      </c>
      <c r="B475" t="s">
        <v>186</v>
      </c>
      <c r="C475" t="s">
        <v>98</v>
      </c>
      <c r="D475" t="s">
        <v>92</v>
      </c>
      <c r="E475" t="s">
        <v>93</v>
      </c>
      <c r="F475">
        <v>27</v>
      </c>
      <c r="G475">
        <v>526644</v>
      </c>
      <c r="H475">
        <v>19505.333333333328</v>
      </c>
    </row>
    <row r="476" spans="1:8" x14ac:dyDescent="0.2">
      <c r="A476" t="s">
        <v>185</v>
      </c>
      <c r="B476" t="s">
        <v>186</v>
      </c>
      <c r="C476" t="s">
        <v>99</v>
      </c>
      <c r="D476" t="s">
        <v>92</v>
      </c>
      <c r="E476" t="s">
        <v>93</v>
      </c>
      <c r="F476">
        <v>26</v>
      </c>
      <c r="G476">
        <v>546222</v>
      </c>
      <c r="H476">
        <v>21008.538461538461</v>
      </c>
    </row>
    <row r="477" spans="1:8" x14ac:dyDescent="0.2">
      <c r="A477" t="s">
        <v>185</v>
      </c>
      <c r="B477" t="s">
        <v>186</v>
      </c>
      <c r="C477" t="s">
        <v>100</v>
      </c>
      <c r="D477" t="s">
        <v>101</v>
      </c>
      <c r="E477" t="s">
        <v>102</v>
      </c>
      <c r="F477">
        <v>30</v>
      </c>
      <c r="G477">
        <v>591769</v>
      </c>
      <c r="H477">
        <v>19725.633333333339</v>
      </c>
    </row>
    <row r="478" spans="1:8" x14ac:dyDescent="0.2">
      <c r="A478" t="s">
        <v>185</v>
      </c>
      <c r="B478" t="s">
        <v>186</v>
      </c>
      <c r="C478" t="s">
        <v>103</v>
      </c>
      <c r="D478" t="s">
        <v>101</v>
      </c>
      <c r="E478" t="s">
        <v>102</v>
      </c>
      <c r="F478">
        <v>21</v>
      </c>
      <c r="G478">
        <v>548112</v>
      </c>
      <c r="H478">
        <v>26100.571428571431</v>
      </c>
    </row>
    <row r="479" spans="1:8" x14ac:dyDescent="0.2">
      <c r="A479" t="s">
        <v>185</v>
      </c>
      <c r="B479" t="s">
        <v>186</v>
      </c>
      <c r="C479" t="s">
        <v>104</v>
      </c>
      <c r="D479" t="s">
        <v>101</v>
      </c>
      <c r="E479" t="s">
        <v>102</v>
      </c>
      <c r="F479">
        <v>24</v>
      </c>
      <c r="G479">
        <v>560915</v>
      </c>
      <c r="H479">
        <v>23371.458333333328</v>
      </c>
    </row>
    <row r="480" spans="1:8" x14ac:dyDescent="0.2">
      <c r="A480" t="s">
        <v>185</v>
      </c>
      <c r="B480" t="s">
        <v>186</v>
      </c>
      <c r="C480" t="s">
        <v>105</v>
      </c>
      <c r="D480" t="s">
        <v>101</v>
      </c>
      <c r="E480" t="s">
        <v>102</v>
      </c>
      <c r="F480">
        <v>18</v>
      </c>
      <c r="G480">
        <v>415519</v>
      </c>
      <c r="H480">
        <v>23084.388888888891</v>
      </c>
    </row>
    <row r="481" spans="1:8" x14ac:dyDescent="0.2">
      <c r="A481" t="s">
        <v>185</v>
      </c>
      <c r="B481" t="s">
        <v>186</v>
      </c>
      <c r="C481" t="s">
        <v>106</v>
      </c>
      <c r="D481" t="s">
        <v>101</v>
      </c>
      <c r="E481" t="s">
        <v>102</v>
      </c>
      <c r="F481">
        <v>22</v>
      </c>
      <c r="G481">
        <v>484918</v>
      </c>
      <c r="H481">
        <v>22041.727272727268</v>
      </c>
    </row>
    <row r="482" spans="1:8" x14ac:dyDescent="0.2">
      <c r="A482" t="s">
        <v>185</v>
      </c>
      <c r="B482" t="s">
        <v>186</v>
      </c>
      <c r="C482" t="s">
        <v>107</v>
      </c>
      <c r="D482" t="s">
        <v>101</v>
      </c>
      <c r="E482" t="s">
        <v>102</v>
      </c>
      <c r="F482">
        <v>21</v>
      </c>
      <c r="G482">
        <v>437756</v>
      </c>
      <c r="H482">
        <v>20845.523809523809</v>
      </c>
    </row>
    <row r="483" spans="1:8" x14ac:dyDescent="0.2">
      <c r="A483" t="s">
        <v>185</v>
      </c>
      <c r="B483" t="s">
        <v>186</v>
      </c>
      <c r="C483" t="s">
        <v>108</v>
      </c>
      <c r="D483" t="s">
        <v>101</v>
      </c>
      <c r="E483" t="s">
        <v>102</v>
      </c>
      <c r="F483">
        <v>22</v>
      </c>
      <c r="G483">
        <v>392399</v>
      </c>
      <c r="H483">
        <v>17836.31818181818</v>
      </c>
    </row>
    <row r="484" spans="1:8" x14ac:dyDescent="0.2">
      <c r="A484" t="s">
        <v>185</v>
      </c>
      <c r="B484" t="s">
        <v>186</v>
      </c>
      <c r="C484" t="s">
        <v>109</v>
      </c>
      <c r="F484">
        <v>42</v>
      </c>
      <c r="G484">
        <v>528225</v>
      </c>
      <c r="H484">
        <v>12576.78571428571</v>
      </c>
    </row>
    <row r="485" spans="1:8" x14ac:dyDescent="0.2">
      <c r="A485" t="s">
        <v>185</v>
      </c>
      <c r="B485" t="s">
        <v>186</v>
      </c>
      <c r="C485" t="s">
        <v>110</v>
      </c>
      <c r="F485">
        <v>26</v>
      </c>
      <c r="G485">
        <v>597419</v>
      </c>
      <c r="H485">
        <v>22977.653846153851</v>
      </c>
    </row>
    <row r="486" spans="1:8" x14ac:dyDescent="0.2">
      <c r="A486" t="s">
        <v>185</v>
      </c>
      <c r="B486" t="s">
        <v>186</v>
      </c>
      <c r="C486" t="s">
        <v>111</v>
      </c>
      <c r="F486">
        <v>31</v>
      </c>
      <c r="G486">
        <v>605126</v>
      </c>
      <c r="H486">
        <v>19520.193548387098</v>
      </c>
    </row>
    <row r="487" spans="1:8" x14ac:dyDescent="0.2">
      <c r="A487" t="s">
        <v>185</v>
      </c>
      <c r="B487" t="s">
        <v>186</v>
      </c>
      <c r="C487" t="s">
        <v>112</v>
      </c>
      <c r="D487" t="s">
        <v>113</v>
      </c>
      <c r="E487" t="s">
        <v>114</v>
      </c>
      <c r="F487">
        <v>358</v>
      </c>
      <c r="G487">
        <v>10440290</v>
      </c>
      <c r="H487">
        <v>29162.821229050282</v>
      </c>
    </row>
    <row r="488" spans="1:8" x14ac:dyDescent="0.2">
      <c r="A488" t="s">
        <v>185</v>
      </c>
      <c r="B488" t="s">
        <v>186</v>
      </c>
      <c r="C488" t="s">
        <v>115</v>
      </c>
      <c r="D488" t="s">
        <v>113</v>
      </c>
      <c r="E488" t="s">
        <v>114</v>
      </c>
      <c r="F488">
        <v>528</v>
      </c>
      <c r="G488">
        <v>17205801</v>
      </c>
      <c r="H488">
        <v>32586.74431818182</v>
      </c>
    </row>
    <row r="489" spans="1:8" x14ac:dyDescent="0.2">
      <c r="A489" t="s">
        <v>185</v>
      </c>
      <c r="B489" t="s">
        <v>186</v>
      </c>
      <c r="C489" t="s">
        <v>116</v>
      </c>
      <c r="D489" t="s">
        <v>113</v>
      </c>
      <c r="E489" t="s">
        <v>114</v>
      </c>
      <c r="F489">
        <v>730</v>
      </c>
      <c r="G489">
        <v>21670318</v>
      </c>
      <c r="H489">
        <v>29685.36712328767</v>
      </c>
    </row>
    <row r="490" spans="1:8" x14ac:dyDescent="0.2">
      <c r="A490" t="s">
        <v>185</v>
      </c>
      <c r="B490" t="s">
        <v>186</v>
      </c>
      <c r="C490" t="s">
        <v>117</v>
      </c>
      <c r="D490" t="s">
        <v>113</v>
      </c>
      <c r="E490" t="s">
        <v>114</v>
      </c>
      <c r="F490">
        <v>873</v>
      </c>
      <c r="G490">
        <v>16021724</v>
      </c>
      <c r="H490">
        <v>18352.490263459331</v>
      </c>
    </row>
    <row r="491" spans="1:8" x14ac:dyDescent="0.2">
      <c r="A491" t="s">
        <v>185</v>
      </c>
      <c r="B491" t="s">
        <v>186</v>
      </c>
      <c r="C491" t="s">
        <v>118</v>
      </c>
      <c r="D491" t="s">
        <v>113</v>
      </c>
      <c r="E491" t="s">
        <v>114</v>
      </c>
      <c r="F491">
        <v>1048</v>
      </c>
      <c r="G491">
        <v>14347303</v>
      </c>
      <c r="H491">
        <v>13690.174618320611</v>
      </c>
    </row>
    <row r="492" spans="1:8" x14ac:dyDescent="0.2">
      <c r="A492" t="s">
        <v>185</v>
      </c>
      <c r="B492" t="s">
        <v>186</v>
      </c>
      <c r="C492" t="s">
        <v>119</v>
      </c>
      <c r="D492" t="s">
        <v>113</v>
      </c>
      <c r="E492" t="s">
        <v>114</v>
      </c>
      <c r="F492">
        <v>1206</v>
      </c>
      <c r="G492">
        <v>15543863</v>
      </c>
      <c r="H492">
        <v>12888.77529021559</v>
      </c>
    </row>
    <row r="493" spans="1:8" x14ac:dyDescent="0.2">
      <c r="A493" t="s">
        <v>185</v>
      </c>
      <c r="B493" t="s">
        <v>186</v>
      </c>
      <c r="C493" t="s">
        <v>120</v>
      </c>
      <c r="D493" t="s">
        <v>113</v>
      </c>
      <c r="E493" t="s">
        <v>114</v>
      </c>
      <c r="F493">
        <v>1014</v>
      </c>
      <c r="G493">
        <v>18973619</v>
      </c>
      <c r="H493">
        <v>18711.655818540439</v>
      </c>
    </row>
    <row r="494" spans="1:8" x14ac:dyDescent="0.2">
      <c r="A494" t="s">
        <v>185</v>
      </c>
      <c r="B494" t="s">
        <v>186</v>
      </c>
      <c r="C494" t="s">
        <v>121</v>
      </c>
      <c r="D494" t="s">
        <v>113</v>
      </c>
      <c r="E494" t="s">
        <v>114</v>
      </c>
      <c r="F494">
        <v>897</v>
      </c>
      <c r="G494">
        <v>19851732</v>
      </c>
      <c r="H494">
        <v>22131.250836120402</v>
      </c>
    </row>
    <row r="495" spans="1:8" x14ac:dyDescent="0.2">
      <c r="A495" t="s">
        <v>185</v>
      </c>
      <c r="B495" t="s">
        <v>186</v>
      </c>
      <c r="C495" t="s">
        <v>122</v>
      </c>
      <c r="D495" t="s">
        <v>113</v>
      </c>
      <c r="E495" t="s">
        <v>114</v>
      </c>
      <c r="F495">
        <v>976</v>
      </c>
      <c r="G495">
        <v>22715374</v>
      </c>
      <c r="H495">
        <v>23273.948770491799</v>
      </c>
    </row>
    <row r="496" spans="1:8" x14ac:dyDescent="0.2">
      <c r="A496" t="s">
        <v>185</v>
      </c>
      <c r="B496" t="s">
        <v>186</v>
      </c>
      <c r="C496" t="s">
        <v>123</v>
      </c>
      <c r="D496" t="s">
        <v>113</v>
      </c>
      <c r="E496" t="s">
        <v>114</v>
      </c>
      <c r="F496">
        <v>1373</v>
      </c>
      <c r="G496">
        <v>26598258</v>
      </c>
      <c r="H496">
        <v>19372.365622723959</v>
      </c>
    </row>
    <row r="497" spans="1:8" x14ac:dyDescent="0.2">
      <c r="A497" t="s">
        <v>185</v>
      </c>
      <c r="B497" t="s">
        <v>186</v>
      </c>
      <c r="C497" t="s">
        <v>124</v>
      </c>
      <c r="D497" t="s">
        <v>113</v>
      </c>
      <c r="E497" t="s">
        <v>114</v>
      </c>
      <c r="F497">
        <v>251</v>
      </c>
      <c r="G497">
        <v>1928382</v>
      </c>
      <c r="H497">
        <v>7682.7968127490039</v>
      </c>
    </row>
    <row r="498" spans="1:8" x14ac:dyDescent="0.2">
      <c r="A498" t="s">
        <v>185</v>
      </c>
      <c r="B498" t="s">
        <v>186</v>
      </c>
      <c r="C498" t="s">
        <v>125</v>
      </c>
      <c r="D498" t="s">
        <v>126</v>
      </c>
      <c r="E498" t="s">
        <v>127</v>
      </c>
      <c r="F498">
        <v>3</v>
      </c>
      <c r="G498">
        <v>0</v>
      </c>
      <c r="H498">
        <v>0</v>
      </c>
    </row>
    <row r="499" spans="1:8" x14ac:dyDescent="0.2">
      <c r="A499" t="s">
        <v>185</v>
      </c>
      <c r="B499" t="s">
        <v>186</v>
      </c>
      <c r="C499" t="s">
        <v>128</v>
      </c>
      <c r="D499" t="s">
        <v>126</v>
      </c>
      <c r="E499" t="s">
        <v>127</v>
      </c>
      <c r="F499">
        <v>1</v>
      </c>
      <c r="G499">
        <v>0</v>
      </c>
      <c r="H499">
        <v>0</v>
      </c>
    </row>
    <row r="500" spans="1:8" x14ac:dyDescent="0.2">
      <c r="A500" t="s">
        <v>185</v>
      </c>
      <c r="B500" t="s">
        <v>186</v>
      </c>
      <c r="C500" t="s">
        <v>129</v>
      </c>
      <c r="D500" t="s">
        <v>126</v>
      </c>
      <c r="E500" t="s">
        <v>127</v>
      </c>
      <c r="F500">
        <v>0</v>
      </c>
      <c r="G500">
        <v>0</v>
      </c>
      <c r="H500">
        <v>0</v>
      </c>
    </row>
    <row r="501" spans="1:8" x14ac:dyDescent="0.2">
      <c r="A501" t="s">
        <v>185</v>
      </c>
      <c r="B501" t="s">
        <v>186</v>
      </c>
      <c r="C501" t="s">
        <v>130</v>
      </c>
      <c r="D501" t="s">
        <v>126</v>
      </c>
      <c r="E501" t="s">
        <v>127</v>
      </c>
      <c r="F501">
        <v>0</v>
      </c>
      <c r="G501">
        <v>0</v>
      </c>
      <c r="H501">
        <v>0</v>
      </c>
    </row>
    <row r="502" spans="1:8" x14ac:dyDescent="0.2">
      <c r="A502" t="s">
        <v>185</v>
      </c>
      <c r="B502" t="s">
        <v>186</v>
      </c>
      <c r="C502" t="s">
        <v>131</v>
      </c>
      <c r="D502" t="s">
        <v>126</v>
      </c>
      <c r="E502" t="s">
        <v>127</v>
      </c>
      <c r="F502">
        <v>0</v>
      </c>
      <c r="G502">
        <v>0</v>
      </c>
      <c r="H502">
        <v>0</v>
      </c>
    </row>
    <row r="503" spans="1:8" x14ac:dyDescent="0.2">
      <c r="A503" t="s">
        <v>185</v>
      </c>
      <c r="B503" t="s">
        <v>186</v>
      </c>
      <c r="C503" t="s">
        <v>132</v>
      </c>
      <c r="D503" t="s">
        <v>126</v>
      </c>
      <c r="E503" t="s">
        <v>127</v>
      </c>
      <c r="F503">
        <v>0</v>
      </c>
      <c r="G503">
        <v>0</v>
      </c>
      <c r="H503">
        <v>0</v>
      </c>
    </row>
    <row r="504" spans="1:8" x14ac:dyDescent="0.2">
      <c r="A504" t="s">
        <v>185</v>
      </c>
      <c r="B504" t="s">
        <v>186</v>
      </c>
      <c r="C504" t="s">
        <v>133</v>
      </c>
      <c r="D504" t="s">
        <v>126</v>
      </c>
      <c r="E504" t="s">
        <v>127</v>
      </c>
      <c r="F504">
        <v>1</v>
      </c>
      <c r="G504">
        <v>0</v>
      </c>
      <c r="H504">
        <v>0</v>
      </c>
    </row>
    <row r="505" spans="1:8" x14ac:dyDescent="0.2">
      <c r="A505" t="s">
        <v>185</v>
      </c>
      <c r="B505" t="s">
        <v>186</v>
      </c>
      <c r="C505" t="s">
        <v>134</v>
      </c>
      <c r="D505" t="s">
        <v>135</v>
      </c>
      <c r="E505" t="s">
        <v>136</v>
      </c>
      <c r="F505">
        <v>0</v>
      </c>
      <c r="G505">
        <v>0</v>
      </c>
      <c r="H505">
        <v>0</v>
      </c>
    </row>
    <row r="506" spans="1:8" x14ac:dyDescent="0.2">
      <c r="A506" t="s">
        <v>185</v>
      </c>
      <c r="B506" t="s">
        <v>186</v>
      </c>
      <c r="C506" t="s">
        <v>137</v>
      </c>
      <c r="D506" t="s">
        <v>135</v>
      </c>
      <c r="E506" t="s">
        <v>136</v>
      </c>
      <c r="F506">
        <v>0</v>
      </c>
      <c r="G506">
        <v>0</v>
      </c>
      <c r="H506">
        <v>0</v>
      </c>
    </row>
    <row r="507" spans="1:8" x14ac:dyDescent="0.2">
      <c r="A507" t="s">
        <v>185</v>
      </c>
      <c r="B507" t="s">
        <v>186</v>
      </c>
      <c r="C507" t="s">
        <v>138</v>
      </c>
      <c r="D507" t="s">
        <v>135</v>
      </c>
      <c r="E507" t="s">
        <v>136</v>
      </c>
      <c r="F507">
        <v>1</v>
      </c>
      <c r="G507">
        <v>0</v>
      </c>
      <c r="H507">
        <v>0</v>
      </c>
    </row>
    <row r="508" spans="1:8" x14ac:dyDescent="0.2">
      <c r="A508" t="s">
        <v>185</v>
      </c>
      <c r="B508" t="s">
        <v>186</v>
      </c>
      <c r="C508" t="s">
        <v>139</v>
      </c>
      <c r="D508" t="s">
        <v>135</v>
      </c>
      <c r="E508" t="s">
        <v>136</v>
      </c>
      <c r="F508">
        <v>1</v>
      </c>
      <c r="G508">
        <v>0</v>
      </c>
      <c r="H508">
        <v>0</v>
      </c>
    </row>
    <row r="509" spans="1:8" x14ac:dyDescent="0.2">
      <c r="A509" t="s">
        <v>185</v>
      </c>
      <c r="B509" t="s">
        <v>186</v>
      </c>
      <c r="C509" t="s">
        <v>140</v>
      </c>
      <c r="D509" t="s">
        <v>135</v>
      </c>
      <c r="E509" t="s">
        <v>136</v>
      </c>
      <c r="F509">
        <v>1</v>
      </c>
      <c r="G509">
        <v>0</v>
      </c>
      <c r="H509">
        <v>0</v>
      </c>
    </row>
    <row r="510" spans="1:8" x14ac:dyDescent="0.2">
      <c r="A510" t="s">
        <v>185</v>
      </c>
      <c r="B510" t="s">
        <v>186</v>
      </c>
      <c r="C510" t="s">
        <v>141</v>
      </c>
      <c r="D510" t="s">
        <v>135</v>
      </c>
      <c r="E510" t="s">
        <v>136</v>
      </c>
      <c r="F510">
        <v>0</v>
      </c>
      <c r="G510">
        <v>0</v>
      </c>
      <c r="H510">
        <v>0</v>
      </c>
    </row>
    <row r="511" spans="1:8" x14ac:dyDescent="0.2">
      <c r="A511" t="s">
        <v>185</v>
      </c>
      <c r="B511" t="s">
        <v>186</v>
      </c>
      <c r="C511" t="s">
        <v>142</v>
      </c>
      <c r="D511" t="s">
        <v>135</v>
      </c>
      <c r="E511" t="s">
        <v>136</v>
      </c>
      <c r="F511">
        <v>0</v>
      </c>
      <c r="G511">
        <v>0</v>
      </c>
      <c r="H511">
        <v>0</v>
      </c>
    </row>
    <row r="512" spans="1:8" x14ac:dyDescent="0.2">
      <c r="A512" t="s">
        <v>185</v>
      </c>
      <c r="B512" t="s">
        <v>186</v>
      </c>
      <c r="C512" t="s">
        <v>143</v>
      </c>
      <c r="D512" t="s">
        <v>144</v>
      </c>
      <c r="E512" t="s">
        <v>145</v>
      </c>
      <c r="F512">
        <v>0</v>
      </c>
      <c r="G512">
        <v>0</v>
      </c>
      <c r="H512">
        <v>0</v>
      </c>
    </row>
    <row r="513" spans="1:8" x14ac:dyDescent="0.2">
      <c r="A513" t="s">
        <v>185</v>
      </c>
      <c r="B513" t="s">
        <v>186</v>
      </c>
      <c r="C513" t="s">
        <v>146</v>
      </c>
      <c r="D513" t="s">
        <v>144</v>
      </c>
      <c r="E513" t="s">
        <v>145</v>
      </c>
      <c r="F513">
        <v>0</v>
      </c>
      <c r="G513">
        <v>0</v>
      </c>
      <c r="H513">
        <v>0</v>
      </c>
    </row>
    <row r="514" spans="1:8" x14ac:dyDescent="0.2">
      <c r="A514" t="s">
        <v>185</v>
      </c>
      <c r="B514" t="s">
        <v>186</v>
      </c>
      <c r="C514" t="s">
        <v>147</v>
      </c>
      <c r="D514" t="s">
        <v>144</v>
      </c>
      <c r="E514" t="s">
        <v>145</v>
      </c>
      <c r="F514">
        <v>0</v>
      </c>
      <c r="G514">
        <v>0</v>
      </c>
      <c r="H514">
        <v>0</v>
      </c>
    </row>
    <row r="515" spans="1:8" x14ac:dyDescent="0.2">
      <c r="A515" t="s">
        <v>185</v>
      </c>
      <c r="B515" t="s">
        <v>186</v>
      </c>
      <c r="C515" t="s">
        <v>148</v>
      </c>
      <c r="D515" t="s">
        <v>144</v>
      </c>
      <c r="E515" t="s">
        <v>145</v>
      </c>
      <c r="F515">
        <v>0</v>
      </c>
      <c r="G515">
        <v>0</v>
      </c>
      <c r="H515">
        <v>0</v>
      </c>
    </row>
    <row r="516" spans="1:8" x14ac:dyDescent="0.2">
      <c r="A516" t="s">
        <v>185</v>
      </c>
      <c r="B516" t="s">
        <v>186</v>
      </c>
      <c r="C516" t="s">
        <v>149</v>
      </c>
      <c r="D516" t="s">
        <v>144</v>
      </c>
      <c r="E516" t="s">
        <v>145</v>
      </c>
      <c r="F516">
        <v>0</v>
      </c>
      <c r="G516">
        <v>0</v>
      </c>
      <c r="H516">
        <v>0</v>
      </c>
    </row>
    <row r="517" spans="1:8" x14ac:dyDescent="0.2">
      <c r="A517" t="s">
        <v>185</v>
      </c>
      <c r="B517" t="s">
        <v>186</v>
      </c>
      <c r="C517" t="s">
        <v>150</v>
      </c>
      <c r="D517" t="s">
        <v>144</v>
      </c>
      <c r="E517" t="s">
        <v>145</v>
      </c>
      <c r="F517">
        <v>0</v>
      </c>
      <c r="G517">
        <v>0</v>
      </c>
      <c r="H517">
        <v>0</v>
      </c>
    </row>
    <row r="518" spans="1:8" x14ac:dyDescent="0.2">
      <c r="A518" t="s">
        <v>185</v>
      </c>
      <c r="B518" t="s">
        <v>186</v>
      </c>
      <c r="C518" t="s">
        <v>151</v>
      </c>
      <c r="D518" t="s">
        <v>144</v>
      </c>
      <c r="E518" t="s">
        <v>145</v>
      </c>
      <c r="F518">
        <v>0</v>
      </c>
      <c r="G518">
        <v>0</v>
      </c>
      <c r="H518">
        <v>0</v>
      </c>
    </row>
    <row r="519" spans="1:8" x14ac:dyDescent="0.2">
      <c r="A519" t="s">
        <v>185</v>
      </c>
      <c r="B519" t="s">
        <v>186</v>
      </c>
      <c r="C519" t="s">
        <v>152</v>
      </c>
      <c r="D519" t="s">
        <v>153</v>
      </c>
      <c r="E519" t="s">
        <v>154</v>
      </c>
      <c r="F519">
        <v>0</v>
      </c>
      <c r="G519">
        <v>0</v>
      </c>
      <c r="H519">
        <v>0</v>
      </c>
    </row>
    <row r="520" spans="1:8" x14ac:dyDescent="0.2">
      <c r="A520" t="s">
        <v>185</v>
      </c>
      <c r="B520" t="s">
        <v>186</v>
      </c>
      <c r="C520" t="s">
        <v>155</v>
      </c>
      <c r="D520" t="s">
        <v>153</v>
      </c>
      <c r="E520" t="s">
        <v>154</v>
      </c>
      <c r="F520">
        <v>0</v>
      </c>
      <c r="G520">
        <v>0</v>
      </c>
      <c r="H520">
        <v>0</v>
      </c>
    </row>
    <row r="521" spans="1:8" x14ac:dyDescent="0.2">
      <c r="A521" t="s">
        <v>185</v>
      </c>
      <c r="B521" t="s">
        <v>186</v>
      </c>
      <c r="C521" t="s">
        <v>156</v>
      </c>
      <c r="D521" t="s">
        <v>153</v>
      </c>
      <c r="E521" t="s">
        <v>154</v>
      </c>
      <c r="F521">
        <v>0</v>
      </c>
      <c r="G521">
        <v>0</v>
      </c>
      <c r="H521">
        <v>0</v>
      </c>
    </row>
    <row r="522" spans="1:8" x14ac:dyDescent="0.2">
      <c r="A522" t="s">
        <v>185</v>
      </c>
      <c r="B522" t="s">
        <v>186</v>
      </c>
      <c r="C522" t="s">
        <v>157</v>
      </c>
      <c r="D522" t="s">
        <v>153</v>
      </c>
      <c r="E522" t="s">
        <v>154</v>
      </c>
      <c r="F522">
        <v>0</v>
      </c>
      <c r="G522">
        <v>0</v>
      </c>
      <c r="H522">
        <v>0</v>
      </c>
    </row>
    <row r="523" spans="1:8" x14ac:dyDescent="0.2">
      <c r="A523" t="s">
        <v>185</v>
      </c>
      <c r="B523" t="s">
        <v>186</v>
      </c>
      <c r="C523" t="s">
        <v>158</v>
      </c>
      <c r="D523" t="s">
        <v>153</v>
      </c>
      <c r="E523" t="s">
        <v>154</v>
      </c>
      <c r="F523">
        <v>0</v>
      </c>
      <c r="G523">
        <v>0</v>
      </c>
      <c r="H523">
        <v>0</v>
      </c>
    </row>
    <row r="524" spans="1:8" x14ac:dyDescent="0.2">
      <c r="A524" t="s">
        <v>185</v>
      </c>
      <c r="B524" t="s">
        <v>186</v>
      </c>
      <c r="C524" t="s">
        <v>159</v>
      </c>
      <c r="D524" t="s">
        <v>153</v>
      </c>
      <c r="E524" t="s">
        <v>154</v>
      </c>
      <c r="F524">
        <v>0</v>
      </c>
      <c r="G524">
        <v>0</v>
      </c>
      <c r="H524">
        <v>0</v>
      </c>
    </row>
    <row r="525" spans="1:8" x14ac:dyDescent="0.2">
      <c r="A525" t="s">
        <v>185</v>
      </c>
      <c r="B525" t="s">
        <v>186</v>
      </c>
      <c r="C525" t="s">
        <v>160</v>
      </c>
      <c r="D525" t="s">
        <v>153</v>
      </c>
      <c r="E525" t="s">
        <v>154</v>
      </c>
      <c r="F525">
        <v>0</v>
      </c>
      <c r="G525">
        <v>0</v>
      </c>
      <c r="H525">
        <v>0</v>
      </c>
    </row>
    <row r="526" spans="1:8" x14ac:dyDescent="0.2">
      <c r="A526" t="s">
        <v>185</v>
      </c>
      <c r="B526" t="s">
        <v>186</v>
      </c>
      <c r="C526" t="s">
        <v>161</v>
      </c>
      <c r="D526" t="s">
        <v>162</v>
      </c>
      <c r="E526" t="s">
        <v>163</v>
      </c>
      <c r="F526">
        <v>0</v>
      </c>
      <c r="G526">
        <v>0</v>
      </c>
      <c r="H526">
        <v>0</v>
      </c>
    </row>
    <row r="527" spans="1:8" x14ac:dyDescent="0.2">
      <c r="A527" t="s">
        <v>185</v>
      </c>
      <c r="B527" t="s">
        <v>186</v>
      </c>
      <c r="C527" t="s">
        <v>164</v>
      </c>
      <c r="D527" t="s">
        <v>162</v>
      </c>
      <c r="E527" t="s">
        <v>163</v>
      </c>
      <c r="F527">
        <v>0</v>
      </c>
      <c r="G527">
        <v>0</v>
      </c>
      <c r="H527">
        <v>0</v>
      </c>
    </row>
    <row r="528" spans="1:8" x14ac:dyDescent="0.2">
      <c r="A528" t="s">
        <v>185</v>
      </c>
      <c r="B528" t="s">
        <v>186</v>
      </c>
      <c r="C528" t="s">
        <v>165</v>
      </c>
      <c r="D528" t="s">
        <v>162</v>
      </c>
      <c r="E528" t="s">
        <v>163</v>
      </c>
      <c r="F528">
        <v>0</v>
      </c>
      <c r="G528">
        <v>0</v>
      </c>
      <c r="H528">
        <v>0</v>
      </c>
    </row>
    <row r="529" spans="1:8" x14ac:dyDescent="0.2">
      <c r="A529" t="s">
        <v>185</v>
      </c>
      <c r="B529" t="s">
        <v>186</v>
      </c>
      <c r="C529" t="s">
        <v>166</v>
      </c>
      <c r="D529" t="s">
        <v>162</v>
      </c>
      <c r="E529" t="s">
        <v>163</v>
      </c>
      <c r="F529">
        <v>0</v>
      </c>
      <c r="G529">
        <v>0</v>
      </c>
      <c r="H529">
        <v>0</v>
      </c>
    </row>
    <row r="530" spans="1:8" x14ac:dyDescent="0.2">
      <c r="A530" t="s">
        <v>185</v>
      </c>
      <c r="B530" t="s">
        <v>186</v>
      </c>
      <c r="C530" t="s">
        <v>167</v>
      </c>
      <c r="D530" t="s">
        <v>162</v>
      </c>
      <c r="E530" t="s">
        <v>163</v>
      </c>
      <c r="F530">
        <v>0</v>
      </c>
      <c r="G530">
        <v>0</v>
      </c>
      <c r="H530">
        <v>0</v>
      </c>
    </row>
    <row r="531" spans="1:8" x14ac:dyDescent="0.2">
      <c r="A531" t="s">
        <v>185</v>
      </c>
      <c r="B531" t="s">
        <v>186</v>
      </c>
      <c r="C531" t="s">
        <v>168</v>
      </c>
      <c r="D531" t="s">
        <v>162</v>
      </c>
      <c r="E531" t="s">
        <v>163</v>
      </c>
      <c r="F531">
        <v>0</v>
      </c>
      <c r="G531">
        <v>0</v>
      </c>
      <c r="H531">
        <v>0</v>
      </c>
    </row>
    <row r="532" spans="1:8" x14ac:dyDescent="0.2">
      <c r="A532" t="s">
        <v>185</v>
      </c>
      <c r="B532" t="s">
        <v>186</v>
      </c>
      <c r="C532" t="s">
        <v>169</v>
      </c>
      <c r="D532" t="s">
        <v>162</v>
      </c>
      <c r="E532" t="s">
        <v>163</v>
      </c>
      <c r="F532">
        <v>0</v>
      </c>
      <c r="G532">
        <v>0</v>
      </c>
      <c r="H532">
        <v>0</v>
      </c>
    </row>
    <row r="533" spans="1:8" x14ac:dyDescent="0.2">
      <c r="A533" t="s">
        <v>185</v>
      </c>
      <c r="B533" t="s">
        <v>186</v>
      </c>
      <c r="C533" t="s">
        <v>170</v>
      </c>
      <c r="D533" t="s">
        <v>171</v>
      </c>
      <c r="E533" t="s">
        <v>172</v>
      </c>
      <c r="F533">
        <v>0</v>
      </c>
      <c r="G533">
        <v>0</v>
      </c>
      <c r="H533">
        <v>0</v>
      </c>
    </row>
    <row r="534" spans="1:8" x14ac:dyDescent="0.2">
      <c r="A534" t="s">
        <v>185</v>
      </c>
      <c r="B534" t="s">
        <v>186</v>
      </c>
      <c r="C534" t="s">
        <v>173</v>
      </c>
      <c r="D534" t="s">
        <v>171</v>
      </c>
      <c r="E534" t="s">
        <v>172</v>
      </c>
      <c r="F534">
        <v>0</v>
      </c>
      <c r="G534">
        <v>0</v>
      </c>
      <c r="H534">
        <v>0</v>
      </c>
    </row>
    <row r="535" spans="1:8" x14ac:dyDescent="0.2">
      <c r="A535" t="s">
        <v>185</v>
      </c>
      <c r="B535" t="s">
        <v>186</v>
      </c>
      <c r="C535" t="s">
        <v>174</v>
      </c>
      <c r="D535" t="s">
        <v>171</v>
      </c>
      <c r="E535" t="s">
        <v>172</v>
      </c>
      <c r="F535">
        <v>0</v>
      </c>
      <c r="G535">
        <v>0</v>
      </c>
      <c r="H535">
        <v>0</v>
      </c>
    </row>
    <row r="536" spans="1:8" x14ac:dyDescent="0.2">
      <c r="A536" t="s">
        <v>185</v>
      </c>
      <c r="B536" t="s">
        <v>186</v>
      </c>
      <c r="C536" t="s">
        <v>175</v>
      </c>
      <c r="D536" t="s">
        <v>171</v>
      </c>
      <c r="E536" t="s">
        <v>172</v>
      </c>
      <c r="F536">
        <v>0</v>
      </c>
      <c r="G536">
        <v>0</v>
      </c>
      <c r="H536">
        <v>0</v>
      </c>
    </row>
    <row r="537" spans="1:8" x14ac:dyDescent="0.2">
      <c r="A537" t="s">
        <v>185</v>
      </c>
      <c r="B537" t="s">
        <v>186</v>
      </c>
      <c r="C537" t="s">
        <v>176</v>
      </c>
      <c r="D537" t="s">
        <v>171</v>
      </c>
      <c r="E537" t="s">
        <v>172</v>
      </c>
      <c r="F537">
        <v>0</v>
      </c>
      <c r="G537">
        <v>0</v>
      </c>
      <c r="H537">
        <v>0</v>
      </c>
    </row>
    <row r="538" spans="1:8" x14ac:dyDescent="0.2">
      <c r="A538" t="s">
        <v>185</v>
      </c>
      <c r="B538" t="s">
        <v>186</v>
      </c>
      <c r="C538" t="s">
        <v>177</v>
      </c>
      <c r="D538" t="s">
        <v>171</v>
      </c>
      <c r="E538" t="s">
        <v>172</v>
      </c>
      <c r="F538">
        <v>0</v>
      </c>
      <c r="G538">
        <v>0</v>
      </c>
      <c r="H538">
        <v>0</v>
      </c>
    </row>
    <row r="539" spans="1:8" x14ac:dyDescent="0.2">
      <c r="A539" t="s">
        <v>185</v>
      </c>
      <c r="B539" t="s">
        <v>186</v>
      </c>
      <c r="C539" t="s">
        <v>178</v>
      </c>
      <c r="D539" t="s">
        <v>171</v>
      </c>
      <c r="E539" t="s">
        <v>172</v>
      </c>
      <c r="F539">
        <v>0</v>
      </c>
      <c r="G539">
        <v>0</v>
      </c>
      <c r="H539">
        <v>0</v>
      </c>
    </row>
    <row r="540" spans="1:8" x14ac:dyDescent="0.2">
      <c r="A540" t="s">
        <v>185</v>
      </c>
      <c r="B540" t="s">
        <v>186</v>
      </c>
      <c r="C540" t="s">
        <v>179</v>
      </c>
      <c r="D540" t="s">
        <v>180</v>
      </c>
      <c r="E540" t="s">
        <v>181</v>
      </c>
      <c r="F540">
        <v>0</v>
      </c>
      <c r="G540">
        <v>0</v>
      </c>
      <c r="H540">
        <v>0</v>
      </c>
    </row>
    <row r="541" spans="1:8" x14ac:dyDescent="0.2">
      <c r="A541" t="s">
        <v>185</v>
      </c>
      <c r="B541" t="s">
        <v>186</v>
      </c>
      <c r="C541" t="s">
        <v>182</v>
      </c>
      <c r="D541" t="s">
        <v>180</v>
      </c>
      <c r="E541" t="s">
        <v>181</v>
      </c>
      <c r="F541">
        <v>0</v>
      </c>
      <c r="G541">
        <v>0</v>
      </c>
      <c r="H541">
        <v>0</v>
      </c>
    </row>
    <row r="542" spans="1:8" x14ac:dyDescent="0.2">
      <c r="A542" t="s">
        <v>187</v>
      </c>
      <c r="B542" t="s">
        <v>188</v>
      </c>
      <c r="C542" t="s">
        <v>10</v>
      </c>
      <c r="D542" t="s">
        <v>11</v>
      </c>
      <c r="E542" t="s">
        <v>12</v>
      </c>
      <c r="F542">
        <v>1821</v>
      </c>
      <c r="G542">
        <v>0</v>
      </c>
      <c r="H542">
        <v>0</v>
      </c>
    </row>
    <row r="543" spans="1:8" x14ac:dyDescent="0.2">
      <c r="A543" t="s">
        <v>187</v>
      </c>
      <c r="B543" t="s">
        <v>188</v>
      </c>
      <c r="C543" t="s">
        <v>13</v>
      </c>
      <c r="D543" t="s">
        <v>11</v>
      </c>
      <c r="E543" t="s">
        <v>12</v>
      </c>
      <c r="F543">
        <v>1854</v>
      </c>
      <c r="G543">
        <v>0</v>
      </c>
      <c r="H543">
        <v>0</v>
      </c>
    </row>
    <row r="544" spans="1:8" x14ac:dyDescent="0.2">
      <c r="A544" t="s">
        <v>187</v>
      </c>
      <c r="B544" t="s">
        <v>188</v>
      </c>
      <c r="C544" t="s">
        <v>14</v>
      </c>
      <c r="D544" t="s">
        <v>11</v>
      </c>
      <c r="E544" t="s">
        <v>12</v>
      </c>
      <c r="F544">
        <v>1788</v>
      </c>
      <c r="G544">
        <v>0</v>
      </c>
      <c r="H544">
        <v>0</v>
      </c>
    </row>
    <row r="545" spans="1:8" x14ac:dyDescent="0.2">
      <c r="A545" t="s">
        <v>187</v>
      </c>
      <c r="B545" t="s">
        <v>188</v>
      </c>
      <c r="C545" t="s">
        <v>15</v>
      </c>
      <c r="D545" t="s">
        <v>11</v>
      </c>
      <c r="E545" t="s">
        <v>12</v>
      </c>
      <c r="F545">
        <v>1713</v>
      </c>
      <c r="G545">
        <v>0</v>
      </c>
      <c r="H545">
        <v>0</v>
      </c>
    </row>
    <row r="546" spans="1:8" x14ac:dyDescent="0.2">
      <c r="A546" t="s">
        <v>187</v>
      </c>
      <c r="B546" t="s">
        <v>188</v>
      </c>
      <c r="C546" t="s">
        <v>16</v>
      </c>
      <c r="D546" t="s">
        <v>11</v>
      </c>
      <c r="E546" t="s">
        <v>12</v>
      </c>
      <c r="F546">
        <v>2271</v>
      </c>
      <c r="G546">
        <v>0</v>
      </c>
      <c r="H546">
        <v>0</v>
      </c>
    </row>
    <row r="547" spans="1:8" x14ac:dyDescent="0.2">
      <c r="A547" t="s">
        <v>187</v>
      </c>
      <c r="B547" t="s">
        <v>188</v>
      </c>
      <c r="C547" t="s">
        <v>17</v>
      </c>
      <c r="D547" t="s">
        <v>11</v>
      </c>
      <c r="E547" t="s">
        <v>12</v>
      </c>
      <c r="F547">
        <v>3868</v>
      </c>
      <c r="G547">
        <v>0</v>
      </c>
      <c r="H547">
        <v>0</v>
      </c>
    </row>
    <row r="548" spans="1:8" x14ac:dyDescent="0.2">
      <c r="A548" t="s">
        <v>187</v>
      </c>
      <c r="B548" t="s">
        <v>188</v>
      </c>
      <c r="C548" t="s">
        <v>18</v>
      </c>
      <c r="D548" t="s">
        <v>11</v>
      </c>
      <c r="E548" t="s">
        <v>12</v>
      </c>
      <c r="F548">
        <v>1140</v>
      </c>
      <c r="G548">
        <v>0</v>
      </c>
      <c r="H548">
        <v>0</v>
      </c>
    </row>
    <row r="549" spans="1:8" x14ac:dyDescent="0.2">
      <c r="A549" t="s">
        <v>187</v>
      </c>
      <c r="B549" t="s">
        <v>188</v>
      </c>
      <c r="C549" t="s">
        <v>19</v>
      </c>
      <c r="D549" t="s">
        <v>20</v>
      </c>
      <c r="E549" t="s">
        <v>21</v>
      </c>
      <c r="F549">
        <v>500</v>
      </c>
      <c r="G549">
        <v>1610076</v>
      </c>
      <c r="H549">
        <v>3220.152</v>
      </c>
    </row>
    <row r="550" spans="1:8" x14ac:dyDescent="0.2">
      <c r="A550" t="s">
        <v>187</v>
      </c>
      <c r="B550" t="s">
        <v>188</v>
      </c>
      <c r="C550" t="s">
        <v>22</v>
      </c>
      <c r="D550" t="s">
        <v>20</v>
      </c>
      <c r="E550" t="s">
        <v>21</v>
      </c>
      <c r="F550">
        <v>395</v>
      </c>
      <c r="G550">
        <v>1910625</v>
      </c>
      <c r="H550">
        <v>4837.0253164556962</v>
      </c>
    </row>
    <row r="551" spans="1:8" x14ac:dyDescent="0.2">
      <c r="A551" t="s">
        <v>187</v>
      </c>
      <c r="B551" t="s">
        <v>188</v>
      </c>
      <c r="C551" t="s">
        <v>23</v>
      </c>
      <c r="D551" t="s">
        <v>20</v>
      </c>
      <c r="E551" t="s">
        <v>21</v>
      </c>
      <c r="F551">
        <v>484</v>
      </c>
      <c r="G551">
        <v>1824618</v>
      </c>
      <c r="H551">
        <v>3769.8719008264461</v>
      </c>
    </row>
    <row r="552" spans="1:8" x14ac:dyDescent="0.2">
      <c r="A552" t="s">
        <v>187</v>
      </c>
      <c r="B552" t="s">
        <v>188</v>
      </c>
      <c r="C552" t="s">
        <v>24</v>
      </c>
      <c r="D552" t="s">
        <v>20</v>
      </c>
      <c r="E552" t="s">
        <v>21</v>
      </c>
      <c r="F552">
        <v>455</v>
      </c>
      <c r="G552">
        <v>1323193</v>
      </c>
      <c r="H552">
        <v>2908.1164835164841</v>
      </c>
    </row>
    <row r="553" spans="1:8" x14ac:dyDescent="0.2">
      <c r="A553" t="s">
        <v>187</v>
      </c>
      <c r="B553" t="s">
        <v>188</v>
      </c>
      <c r="C553" t="s">
        <v>25</v>
      </c>
      <c r="D553" t="s">
        <v>20</v>
      </c>
      <c r="E553" t="s">
        <v>21</v>
      </c>
      <c r="F553">
        <v>607</v>
      </c>
      <c r="G553">
        <v>1317575</v>
      </c>
      <c r="H553">
        <v>2170.6342668863258</v>
      </c>
    </row>
    <row r="554" spans="1:8" x14ac:dyDescent="0.2">
      <c r="A554" t="s">
        <v>187</v>
      </c>
      <c r="B554" t="s">
        <v>188</v>
      </c>
      <c r="C554" t="s">
        <v>26</v>
      </c>
      <c r="D554" t="s">
        <v>20</v>
      </c>
      <c r="E554" t="s">
        <v>21</v>
      </c>
      <c r="F554">
        <v>749</v>
      </c>
      <c r="G554">
        <v>1266267</v>
      </c>
      <c r="H554">
        <v>1690.6101468624829</v>
      </c>
    </row>
    <row r="555" spans="1:8" x14ac:dyDescent="0.2">
      <c r="A555" t="s">
        <v>187</v>
      </c>
      <c r="B555" t="s">
        <v>188</v>
      </c>
      <c r="C555" t="s">
        <v>27</v>
      </c>
      <c r="D555" t="s">
        <v>20</v>
      </c>
      <c r="E555" t="s">
        <v>21</v>
      </c>
      <c r="F555">
        <v>584</v>
      </c>
      <c r="G555">
        <v>1109077</v>
      </c>
      <c r="H555">
        <v>1899.104452054795</v>
      </c>
    </row>
    <row r="556" spans="1:8" x14ac:dyDescent="0.2">
      <c r="A556" t="s">
        <v>187</v>
      </c>
      <c r="B556" t="s">
        <v>188</v>
      </c>
      <c r="C556" t="s">
        <v>28</v>
      </c>
      <c r="D556" t="s">
        <v>29</v>
      </c>
      <c r="E556" t="s">
        <v>30</v>
      </c>
      <c r="F556">
        <v>570</v>
      </c>
      <c r="G556">
        <v>1392656</v>
      </c>
      <c r="H556">
        <v>2443.2561403508771</v>
      </c>
    </row>
    <row r="557" spans="1:8" x14ac:dyDescent="0.2">
      <c r="A557" t="s">
        <v>187</v>
      </c>
      <c r="B557" t="s">
        <v>188</v>
      </c>
      <c r="C557" t="s">
        <v>31</v>
      </c>
      <c r="D557" t="s">
        <v>29</v>
      </c>
      <c r="E557" t="s">
        <v>30</v>
      </c>
      <c r="F557">
        <v>489</v>
      </c>
      <c r="G557">
        <v>1057838</v>
      </c>
      <c r="H557">
        <v>2163.2678936605321</v>
      </c>
    </row>
    <row r="558" spans="1:8" x14ac:dyDescent="0.2">
      <c r="A558" t="s">
        <v>187</v>
      </c>
      <c r="B558" t="s">
        <v>188</v>
      </c>
      <c r="C558" t="s">
        <v>32</v>
      </c>
      <c r="D558" t="s">
        <v>29</v>
      </c>
      <c r="E558" t="s">
        <v>30</v>
      </c>
      <c r="F558">
        <v>442</v>
      </c>
      <c r="G558">
        <v>866200</v>
      </c>
      <c r="H558">
        <v>1959.7285067873299</v>
      </c>
    </row>
    <row r="559" spans="1:8" x14ac:dyDescent="0.2">
      <c r="A559" t="s">
        <v>187</v>
      </c>
      <c r="B559" t="s">
        <v>188</v>
      </c>
      <c r="C559" t="s">
        <v>33</v>
      </c>
      <c r="D559" t="s">
        <v>29</v>
      </c>
      <c r="E559" t="s">
        <v>30</v>
      </c>
      <c r="F559">
        <v>482</v>
      </c>
      <c r="G559">
        <v>995990</v>
      </c>
      <c r="H559">
        <v>2066.369294605809</v>
      </c>
    </row>
    <row r="560" spans="1:8" x14ac:dyDescent="0.2">
      <c r="A560" t="s">
        <v>187</v>
      </c>
      <c r="B560" t="s">
        <v>188</v>
      </c>
      <c r="C560" t="s">
        <v>34</v>
      </c>
      <c r="D560" t="s">
        <v>29</v>
      </c>
      <c r="E560" t="s">
        <v>30</v>
      </c>
      <c r="F560">
        <v>537</v>
      </c>
      <c r="G560">
        <v>1215463</v>
      </c>
      <c r="H560">
        <v>2263.4320297951581</v>
      </c>
    </row>
    <row r="561" spans="1:8" x14ac:dyDescent="0.2">
      <c r="A561" t="s">
        <v>187</v>
      </c>
      <c r="B561" t="s">
        <v>188</v>
      </c>
      <c r="C561" t="s">
        <v>35</v>
      </c>
      <c r="D561" t="s">
        <v>29</v>
      </c>
      <c r="E561" t="s">
        <v>30</v>
      </c>
      <c r="F561">
        <v>569</v>
      </c>
      <c r="G561">
        <v>1294344</v>
      </c>
      <c r="H561">
        <v>2274.7697715289978</v>
      </c>
    </row>
    <row r="562" spans="1:8" x14ac:dyDescent="0.2">
      <c r="A562" t="s">
        <v>187</v>
      </c>
      <c r="B562" t="s">
        <v>188</v>
      </c>
      <c r="C562" t="s">
        <v>36</v>
      </c>
      <c r="D562" t="s">
        <v>29</v>
      </c>
      <c r="E562" t="s">
        <v>30</v>
      </c>
      <c r="F562">
        <v>556</v>
      </c>
      <c r="G562">
        <v>1306065.6842105261</v>
      </c>
      <c r="H562">
        <v>2349.0390003786438</v>
      </c>
    </row>
    <row r="563" spans="1:8" x14ac:dyDescent="0.2">
      <c r="A563" t="s">
        <v>187</v>
      </c>
      <c r="B563" t="s">
        <v>188</v>
      </c>
      <c r="C563" t="s">
        <v>37</v>
      </c>
      <c r="D563" t="s">
        <v>38</v>
      </c>
      <c r="E563" t="s">
        <v>39</v>
      </c>
      <c r="F563">
        <v>521</v>
      </c>
      <c r="G563">
        <v>1164104.6315789481</v>
      </c>
      <c r="H563">
        <v>2234.3658955450051</v>
      </c>
    </row>
    <row r="564" spans="1:8" x14ac:dyDescent="0.2">
      <c r="A564" t="s">
        <v>187</v>
      </c>
      <c r="B564" t="s">
        <v>188</v>
      </c>
      <c r="C564" t="s">
        <v>40</v>
      </c>
      <c r="D564" t="s">
        <v>38</v>
      </c>
      <c r="E564" t="s">
        <v>39</v>
      </c>
      <c r="F564">
        <v>543</v>
      </c>
      <c r="G564">
        <v>1172117.2631578951</v>
      </c>
      <c r="H564">
        <v>2158.5953280992539</v>
      </c>
    </row>
    <row r="565" spans="1:8" x14ac:dyDescent="0.2">
      <c r="A565" t="s">
        <v>187</v>
      </c>
      <c r="B565" t="s">
        <v>188</v>
      </c>
      <c r="C565" t="s">
        <v>41</v>
      </c>
      <c r="D565" t="s">
        <v>38</v>
      </c>
      <c r="E565" t="s">
        <v>39</v>
      </c>
      <c r="F565">
        <v>536</v>
      </c>
      <c r="G565">
        <v>1161753.0526315791</v>
      </c>
      <c r="H565">
        <v>2167.4497250589161</v>
      </c>
    </row>
    <row r="566" spans="1:8" x14ac:dyDescent="0.2">
      <c r="A566" t="s">
        <v>187</v>
      </c>
      <c r="B566" t="s">
        <v>188</v>
      </c>
      <c r="C566" t="s">
        <v>42</v>
      </c>
      <c r="D566" t="s">
        <v>38</v>
      </c>
      <c r="E566" t="s">
        <v>39</v>
      </c>
      <c r="F566">
        <v>551</v>
      </c>
      <c r="G566">
        <v>1288110.9473684209</v>
      </c>
      <c r="H566">
        <v>2337.769414461744</v>
      </c>
    </row>
    <row r="567" spans="1:8" x14ac:dyDescent="0.2">
      <c r="A567" t="s">
        <v>187</v>
      </c>
      <c r="B567" t="s">
        <v>188</v>
      </c>
      <c r="C567" t="s">
        <v>43</v>
      </c>
      <c r="D567" t="s">
        <v>38</v>
      </c>
      <c r="E567" t="s">
        <v>39</v>
      </c>
      <c r="F567">
        <v>641</v>
      </c>
      <c r="G567">
        <v>1193947.789473684</v>
      </c>
      <c r="H567">
        <v>1862.633056901223</v>
      </c>
    </row>
    <row r="568" spans="1:8" x14ac:dyDescent="0.2">
      <c r="A568" t="s">
        <v>187</v>
      </c>
      <c r="B568" t="s">
        <v>188</v>
      </c>
      <c r="C568" t="s">
        <v>44</v>
      </c>
      <c r="D568" t="s">
        <v>38</v>
      </c>
      <c r="E568" t="s">
        <v>39</v>
      </c>
      <c r="F568">
        <v>684</v>
      </c>
      <c r="G568">
        <v>1182398.3157894739</v>
      </c>
      <c r="H568">
        <v>1728.652508464143</v>
      </c>
    </row>
    <row r="569" spans="1:8" x14ac:dyDescent="0.2">
      <c r="A569" t="s">
        <v>187</v>
      </c>
      <c r="B569" t="s">
        <v>188</v>
      </c>
      <c r="C569" t="s">
        <v>45</v>
      </c>
      <c r="D569" t="s">
        <v>38</v>
      </c>
      <c r="E569" t="s">
        <v>39</v>
      </c>
      <c r="F569">
        <v>642</v>
      </c>
      <c r="G569">
        <v>1330594.105263158</v>
      </c>
      <c r="H569">
        <v>2072.5764879488438</v>
      </c>
    </row>
    <row r="570" spans="1:8" x14ac:dyDescent="0.2">
      <c r="A570" t="s">
        <v>187</v>
      </c>
      <c r="B570" t="s">
        <v>188</v>
      </c>
      <c r="C570" t="s">
        <v>46</v>
      </c>
      <c r="D570" t="s">
        <v>47</v>
      </c>
      <c r="E570" t="s">
        <v>48</v>
      </c>
      <c r="F570">
        <v>784</v>
      </c>
      <c r="G570">
        <v>1759377.2631578951</v>
      </c>
      <c r="H570">
        <v>2244.1036519871109</v>
      </c>
    </row>
    <row r="571" spans="1:8" x14ac:dyDescent="0.2">
      <c r="A571" t="s">
        <v>187</v>
      </c>
      <c r="B571" t="s">
        <v>188</v>
      </c>
      <c r="C571" t="s">
        <v>49</v>
      </c>
      <c r="D571" t="s">
        <v>47</v>
      </c>
      <c r="E571" t="s">
        <v>48</v>
      </c>
      <c r="F571">
        <v>588</v>
      </c>
      <c r="G571">
        <v>1496295.1578947371</v>
      </c>
      <c r="H571">
        <v>2544.7196562835661</v>
      </c>
    </row>
    <row r="572" spans="1:8" x14ac:dyDescent="0.2">
      <c r="A572" t="s">
        <v>187</v>
      </c>
      <c r="B572" t="s">
        <v>188</v>
      </c>
      <c r="C572" t="s">
        <v>50</v>
      </c>
      <c r="D572" t="s">
        <v>47</v>
      </c>
      <c r="E572" t="s">
        <v>48</v>
      </c>
      <c r="F572">
        <v>650</v>
      </c>
      <c r="G572">
        <v>1641183.4947368421</v>
      </c>
      <c r="H572">
        <v>2524.8976842105262</v>
      </c>
    </row>
    <row r="573" spans="1:8" x14ac:dyDescent="0.2">
      <c r="A573" t="s">
        <v>187</v>
      </c>
      <c r="B573" t="s">
        <v>188</v>
      </c>
      <c r="C573" t="s">
        <v>51</v>
      </c>
      <c r="D573" t="s">
        <v>47</v>
      </c>
      <c r="E573" t="s">
        <v>48</v>
      </c>
      <c r="F573">
        <v>671</v>
      </c>
      <c r="G573">
        <v>1716048.094736842</v>
      </c>
      <c r="H573">
        <v>2557.4487253902271</v>
      </c>
    </row>
    <row r="574" spans="1:8" x14ac:dyDescent="0.2">
      <c r="A574" t="s">
        <v>187</v>
      </c>
      <c r="B574" t="s">
        <v>188</v>
      </c>
      <c r="C574" t="s">
        <v>52</v>
      </c>
      <c r="D574" t="s">
        <v>47</v>
      </c>
      <c r="E574" t="s">
        <v>48</v>
      </c>
      <c r="F574">
        <v>657</v>
      </c>
      <c r="G574">
        <v>1672993.0421052631</v>
      </c>
      <c r="H574">
        <v>2546.4125450612842</v>
      </c>
    </row>
    <row r="575" spans="1:8" x14ac:dyDescent="0.2">
      <c r="A575" t="s">
        <v>187</v>
      </c>
      <c r="B575" t="s">
        <v>188</v>
      </c>
      <c r="C575" t="s">
        <v>53</v>
      </c>
      <c r="D575" t="s">
        <v>47</v>
      </c>
      <c r="E575" t="s">
        <v>48</v>
      </c>
      <c r="F575">
        <v>667</v>
      </c>
      <c r="G575">
        <v>1691449.8</v>
      </c>
      <c r="H575">
        <v>2535.906746626687</v>
      </c>
    </row>
    <row r="576" spans="1:8" x14ac:dyDescent="0.2">
      <c r="A576" t="s">
        <v>187</v>
      </c>
      <c r="B576" t="s">
        <v>188</v>
      </c>
      <c r="C576" t="s">
        <v>54</v>
      </c>
      <c r="D576" t="s">
        <v>47</v>
      </c>
      <c r="E576" t="s">
        <v>48</v>
      </c>
      <c r="F576">
        <v>709</v>
      </c>
      <c r="G576">
        <v>1628152.2947368419</v>
      </c>
      <c r="H576">
        <v>2296.4066216316542</v>
      </c>
    </row>
    <row r="577" spans="1:8" x14ac:dyDescent="0.2">
      <c r="A577" t="s">
        <v>187</v>
      </c>
      <c r="B577" t="s">
        <v>188</v>
      </c>
      <c r="C577" t="s">
        <v>55</v>
      </c>
      <c r="D577" t="s">
        <v>56</v>
      </c>
      <c r="E577" t="s">
        <v>57</v>
      </c>
      <c r="F577">
        <v>866</v>
      </c>
      <c r="G577">
        <v>1909732.6210526321</v>
      </c>
      <c r="H577">
        <v>2205.233973501885</v>
      </c>
    </row>
    <row r="578" spans="1:8" x14ac:dyDescent="0.2">
      <c r="A578" t="s">
        <v>187</v>
      </c>
      <c r="B578" t="s">
        <v>188</v>
      </c>
      <c r="C578" t="s">
        <v>58</v>
      </c>
      <c r="D578" t="s">
        <v>56</v>
      </c>
      <c r="E578" t="s">
        <v>57</v>
      </c>
      <c r="F578">
        <v>667</v>
      </c>
      <c r="G578">
        <v>1355411.2526315791</v>
      </c>
      <c r="H578">
        <v>2032.100828533102</v>
      </c>
    </row>
    <row r="579" spans="1:8" x14ac:dyDescent="0.2">
      <c r="A579" t="s">
        <v>187</v>
      </c>
      <c r="B579" t="s">
        <v>188</v>
      </c>
      <c r="C579" t="s">
        <v>59</v>
      </c>
      <c r="D579" t="s">
        <v>56</v>
      </c>
      <c r="E579" t="s">
        <v>57</v>
      </c>
      <c r="F579">
        <v>659</v>
      </c>
      <c r="G579">
        <v>1359947.2</v>
      </c>
      <c r="H579">
        <v>2063.6528072837641</v>
      </c>
    </row>
    <row r="580" spans="1:8" x14ac:dyDescent="0.2">
      <c r="A580" t="s">
        <v>187</v>
      </c>
      <c r="B580" t="s">
        <v>188</v>
      </c>
      <c r="C580" t="s">
        <v>60</v>
      </c>
      <c r="D580" t="s">
        <v>56</v>
      </c>
      <c r="E580" t="s">
        <v>57</v>
      </c>
      <c r="F580">
        <v>657</v>
      </c>
      <c r="G580">
        <v>1363353.210526316</v>
      </c>
      <c r="H580">
        <v>2075.11904189698</v>
      </c>
    </row>
    <row r="581" spans="1:8" x14ac:dyDescent="0.2">
      <c r="A581" t="s">
        <v>187</v>
      </c>
      <c r="B581" t="s">
        <v>188</v>
      </c>
      <c r="C581" t="s">
        <v>61</v>
      </c>
      <c r="D581" t="s">
        <v>56</v>
      </c>
      <c r="E581" t="s">
        <v>57</v>
      </c>
      <c r="F581">
        <v>702</v>
      </c>
      <c r="G581">
        <v>1374985.0736842109</v>
      </c>
      <c r="H581">
        <v>1958.6681961313541</v>
      </c>
    </row>
    <row r="582" spans="1:8" x14ac:dyDescent="0.2">
      <c r="A582" t="s">
        <v>187</v>
      </c>
      <c r="B582" t="s">
        <v>188</v>
      </c>
      <c r="C582" t="s">
        <v>62</v>
      </c>
      <c r="D582" t="s">
        <v>56</v>
      </c>
      <c r="E582" t="s">
        <v>57</v>
      </c>
      <c r="F582">
        <v>774</v>
      </c>
      <c r="G582">
        <v>1402906.084210526</v>
      </c>
      <c r="H582">
        <v>1812.540160478716</v>
      </c>
    </row>
    <row r="583" spans="1:8" x14ac:dyDescent="0.2">
      <c r="A583" t="s">
        <v>187</v>
      </c>
      <c r="B583" t="s">
        <v>188</v>
      </c>
      <c r="C583" t="s">
        <v>63</v>
      </c>
      <c r="D583" t="s">
        <v>56</v>
      </c>
      <c r="E583" t="s">
        <v>57</v>
      </c>
      <c r="F583">
        <v>686</v>
      </c>
      <c r="G583">
        <v>1404144.8105263161</v>
      </c>
      <c r="H583">
        <v>2046.858324382385</v>
      </c>
    </row>
    <row r="584" spans="1:8" x14ac:dyDescent="0.2">
      <c r="A584" t="s">
        <v>187</v>
      </c>
      <c r="B584" t="s">
        <v>188</v>
      </c>
      <c r="C584" t="s">
        <v>64</v>
      </c>
      <c r="D584" t="s">
        <v>65</v>
      </c>
      <c r="E584" t="s">
        <v>66</v>
      </c>
      <c r="F584">
        <v>721</v>
      </c>
      <c r="G584">
        <v>1418494.4105263159</v>
      </c>
      <c r="H584">
        <v>1967.398627637054</v>
      </c>
    </row>
    <row r="585" spans="1:8" x14ac:dyDescent="0.2">
      <c r="A585" t="s">
        <v>187</v>
      </c>
      <c r="B585" t="s">
        <v>188</v>
      </c>
      <c r="C585" t="s">
        <v>67</v>
      </c>
      <c r="D585" t="s">
        <v>65</v>
      </c>
      <c r="E585" t="s">
        <v>66</v>
      </c>
      <c r="F585">
        <v>752</v>
      </c>
      <c r="G585">
        <v>1423262.347368421</v>
      </c>
      <c r="H585">
        <v>1892.6361002239639</v>
      </c>
    </row>
    <row r="586" spans="1:8" x14ac:dyDescent="0.2">
      <c r="A586" t="s">
        <v>187</v>
      </c>
      <c r="B586" t="s">
        <v>188</v>
      </c>
      <c r="C586" t="s">
        <v>68</v>
      </c>
      <c r="D586" t="s">
        <v>65</v>
      </c>
      <c r="E586" t="s">
        <v>66</v>
      </c>
      <c r="F586">
        <v>773</v>
      </c>
      <c r="G586">
        <v>1507330.7263157901</v>
      </c>
      <c r="H586">
        <v>1949.975066385239</v>
      </c>
    </row>
    <row r="587" spans="1:8" x14ac:dyDescent="0.2">
      <c r="A587" t="s">
        <v>187</v>
      </c>
      <c r="B587" t="s">
        <v>188</v>
      </c>
      <c r="C587" t="s">
        <v>69</v>
      </c>
      <c r="D587" t="s">
        <v>65</v>
      </c>
      <c r="E587" t="s">
        <v>66</v>
      </c>
      <c r="F587">
        <v>685</v>
      </c>
      <c r="G587">
        <v>1528577.2736842111</v>
      </c>
      <c r="H587">
        <v>2231.499669611987</v>
      </c>
    </row>
    <row r="588" spans="1:8" x14ac:dyDescent="0.2">
      <c r="A588" t="s">
        <v>187</v>
      </c>
      <c r="B588" t="s">
        <v>188</v>
      </c>
      <c r="C588" t="s">
        <v>70</v>
      </c>
      <c r="D588" t="s">
        <v>65</v>
      </c>
      <c r="E588" t="s">
        <v>66</v>
      </c>
      <c r="F588">
        <v>642</v>
      </c>
      <c r="G588">
        <v>1192228.9263157891</v>
      </c>
      <c r="H588">
        <v>1857.054402361043</v>
      </c>
    </row>
    <row r="589" spans="1:8" x14ac:dyDescent="0.2">
      <c r="A589" t="s">
        <v>187</v>
      </c>
      <c r="B589" t="s">
        <v>188</v>
      </c>
      <c r="C589" t="s">
        <v>71</v>
      </c>
      <c r="D589" t="s">
        <v>65</v>
      </c>
      <c r="E589" t="s">
        <v>66</v>
      </c>
      <c r="F589">
        <v>734</v>
      </c>
      <c r="G589">
        <v>1366839.431578947</v>
      </c>
      <c r="H589">
        <v>1862.179062096659</v>
      </c>
    </row>
    <row r="590" spans="1:8" x14ac:dyDescent="0.2">
      <c r="A590" t="s">
        <v>187</v>
      </c>
      <c r="B590" t="s">
        <v>188</v>
      </c>
      <c r="C590" t="s">
        <v>72</v>
      </c>
      <c r="D590" t="s">
        <v>65</v>
      </c>
      <c r="E590" t="s">
        <v>66</v>
      </c>
      <c r="F590">
        <v>689</v>
      </c>
      <c r="G590">
        <v>1756412.557894737</v>
      </c>
      <c r="H590">
        <v>2549.2199679168898</v>
      </c>
    </row>
    <row r="591" spans="1:8" x14ac:dyDescent="0.2">
      <c r="A591" t="s">
        <v>187</v>
      </c>
      <c r="B591" t="s">
        <v>188</v>
      </c>
      <c r="C591" t="s">
        <v>73</v>
      </c>
      <c r="D591" t="s">
        <v>74</v>
      </c>
      <c r="E591" t="s">
        <v>75</v>
      </c>
      <c r="F591">
        <v>708</v>
      </c>
      <c r="G591">
        <v>1904129.094736842</v>
      </c>
      <c r="H591">
        <v>2689.447873922094</v>
      </c>
    </row>
    <row r="592" spans="1:8" x14ac:dyDescent="0.2">
      <c r="A592" t="s">
        <v>187</v>
      </c>
      <c r="B592" t="s">
        <v>188</v>
      </c>
      <c r="C592" t="s">
        <v>76</v>
      </c>
      <c r="D592" t="s">
        <v>74</v>
      </c>
      <c r="E592" t="s">
        <v>75</v>
      </c>
      <c r="F592">
        <v>681</v>
      </c>
      <c r="G592">
        <v>1426289.3157894739</v>
      </c>
      <c r="H592">
        <v>2094.4042816291831</v>
      </c>
    </row>
    <row r="593" spans="1:8" x14ac:dyDescent="0.2">
      <c r="A593" t="s">
        <v>187</v>
      </c>
      <c r="B593" t="s">
        <v>188</v>
      </c>
      <c r="C593" t="s">
        <v>77</v>
      </c>
      <c r="D593" t="s">
        <v>74</v>
      </c>
      <c r="E593" t="s">
        <v>75</v>
      </c>
      <c r="F593">
        <v>660</v>
      </c>
      <c r="G593">
        <v>1698722.663157895</v>
      </c>
      <c r="H593">
        <v>2573.8222169059009</v>
      </c>
    </row>
    <row r="594" spans="1:8" x14ac:dyDescent="0.2">
      <c r="A594" t="s">
        <v>187</v>
      </c>
      <c r="B594" t="s">
        <v>188</v>
      </c>
      <c r="C594" t="s">
        <v>78</v>
      </c>
      <c r="D594" t="s">
        <v>74</v>
      </c>
      <c r="E594" t="s">
        <v>75</v>
      </c>
      <c r="F594">
        <v>633</v>
      </c>
      <c r="G594">
        <v>1738856.9473684209</v>
      </c>
      <c r="H594">
        <v>2747.0093955267321</v>
      </c>
    </row>
    <row r="595" spans="1:8" x14ac:dyDescent="0.2">
      <c r="A595" t="s">
        <v>187</v>
      </c>
      <c r="B595" t="s">
        <v>188</v>
      </c>
      <c r="C595" t="s">
        <v>79</v>
      </c>
      <c r="D595" t="s">
        <v>74</v>
      </c>
      <c r="E595" t="s">
        <v>75</v>
      </c>
      <c r="F595">
        <v>740</v>
      </c>
      <c r="G595">
        <v>1782481.0631578951</v>
      </c>
      <c r="H595">
        <v>2408.7581934566142</v>
      </c>
    </row>
    <row r="596" spans="1:8" x14ac:dyDescent="0.2">
      <c r="A596" t="s">
        <v>187</v>
      </c>
      <c r="B596" t="s">
        <v>188</v>
      </c>
      <c r="C596" t="s">
        <v>80</v>
      </c>
      <c r="D596" t="s">
        <v>74</v>
      </c>
      <c r="E596" t="s">
        <v>75</v>
      </c>
      <c r="F596">
        <v>664</v>
      </c>
      <c r="G596">
        <v>1774438.5894736841</v>
      </c>
      <c r="H596">
        <v>2672.347273303742</v>
      </c>
    </row>
    <row r="597" spans="1:8" x14ac:dyDescent="0.2">
      <c r="A597" t="s">
        <v>187</v>
      </c>
      <c r="B597" t="s">
        <v>188</v>
      </c>
      <c r="C597" t="s">
        <v>81</v>
      </c>
      <c r="D597" t="s">
        <v>74</v>
      </c>
      <c r="E597" t="s">
        <v>75</v>
      </c>
      <c r="F597">
        <v>700</v>
      </c>
      <c r="G597">
        <v>1756023.652631579</v>
      </c>
      <c r="H597">
        <v>2508.6052180451129</v>
      </c>
    </row>
    <row r="598" spans="1:8" x14ac:dyDescent="0.2">
      <c r="A598" t="s">
        <v>187</v>
      </c>
      <c r="B598" t="s">
        <v>188</v>
      </c>
      <c r="C598" t="s">
        <v>82</v>
      </c>
      <c r="D598" t="s">
        <v>83</v>
      </c>
      <c r="E598" t="s">
        <v>84</v>
      </c>
      <c r="F598">
        <v>628</v>
      </c>
      <c r="G598">
        <v>1880843.642105263</v>
      </c>
      <c r="H598">
        <v>2994.973952396917</v>
      </c>
    </row>
    <row r="599" spans="1:8" x14ac:dyDescent="0.2">
      <c r="A599" t="s">
        <v>187</v>
      </c>
      <c r="B599" t="s">
        <v>188</v>
      </c>
      <c r="C599" t="s">
        <v>85</v>
      </c>
      <c r="D599" t="s">
        <v>83</v>
      </c>
      <c r="E599" t="s">
        <v>84</v>
      </c>
      <c r="F599">
        <v>599</v>
      </c>
      <c r="G599">
        <v>1763588.915789474</v>
      </c>
      <c r="H599">
        <v>2944.2218961426938</v>
      </c>
    </row>
    <row r="600" spans="1:8" x14ac:dyDescent="0.2">
      <c r="A600" t="s">
        <v>187</v>
      </c>
      <c r="B600" t="s">
        <v>188</v>
      </c>
      <c r="C600" t="s">
        <v>86</v>
      </c>
      <c r="D600" t="s">
        <v>83</v>
      </c>
      <c r="E600" t="s">
        <v>84</v>
      </c>
      <c r="F600">
        <v>572</v>
      </c>
      <c r="G600">
        <v>1685843.557894737</v>
      </c>
      <c r="H600">
        <v>2947.2789473684211</v>
      </c>
    </row>
    <row r="601" spans="1:8" x14ac:dyDescent="0.2">
      <c r="A601" t="s">
        <v>187</v>
      </c>
      <c r="B601" t="s">
        <v>188</v>
      </c>
      <c r="C601" t="s">
        <v>87</v>
      </c>
      <c r="D601" t="s">
        <v>83</v>
      </c>
      <c r="E601" t="s">
        <v>84</v>
      </c>
      <c r="F601">
        <v>542</v>
      </c>
      <c r="G601">
        <v>1672243.452631579</v>
      </c>
      <c r="H601">
        <v>3085.3200233054959</v>
      </c>
    </row>
    <row r="602" spans="1:8" x14ac:dyDescent="0.2">
      <c r="A602" t="s">
        <v>187</v>
      </c>
      <c r="B602" t="s">
        <v>188</v>
      </c>
      <c r="C602" t="s">
        <v>88</v>
      </c>
      <c r="D602" t="s">
        <v>83</v>
      </c>
      <c r="E602" t="s">
        <v>84</v>
      </c>
      <c r="F602">
        <v>589</v>
      </c>
      <c r="G602">
        <v>1767322.0526315791</v>
      </c>
      <c r="H602">
        <v>3000.546778661424</v>
      </c>
    </row>
    <row r="603" spans="1:8" x14ac:dyDescent="0.2">
      <c r="A603" t="s">
        <v>187</v>
      </c>
      <c r="B603" t="s">
        <v>188</v>
      </c>
      <c r="C603" t="s">
        <v>89</v>
      </c>
      <c r="D603" t="s">
        <v>83</v>
      </c>
      <c r="E603" t="s">
        <v>84</v>
      </c>
      <c r="F603">
        <v>695</v>
      </c>
      <c r="G603">
        <v>1878389.1473684211</v>
      </c>
      <c r="H603">
        <v>2702.7181976524039</v>
      </c>
    </row>
    <row r="604" spans="1:8" x14ac:dyDescent="0.2">
      <c r="A604" t="s">
        <v>187</v>
      </c>
      <c r="B604" t="s">
        <v>188</v>
      </c>
      <c r="C604" t="s">
        <v>90</v>
      </c>
      <c r="D604" t="s">
        <v>83</v>
      </c>
      <c r="E604" t="s">
        <v>84</v>
      </c>
      <c r="F604">
        <v>620</v>
      </c>
      <c r="G604">
        <v>1788844.3157894739</v>
      </c>
      <c r="H604">
        <v>2885.2327674023768</v>
      </c>
    </row>
    <row r="605" spans="1:8" x14ac:dyDescent="0.2">
      <c r="A605" t="s">
        <v>187</v>
      </c>
      <c r="B605" t="s">
        <v>188</v>
      </c>
      <c r="C605" t="s">
        <v>91</v>
      </c>
      <c r="D605" t="s">
        <v>92</v>
      </c>
      <c r="E605" t="s">
        <v>93</v>
      </c>
      <c r="F605">
        <v>662</v>
      </c>
      <c r="G605">
        <v>1908967.9684210529</v>
      </c>
      <c r="H605">
        <v>2883.637414533312</v>
      </c>
    </row>
    <row r="606" spans="1:8" x14ac:dyDescent="0.2">
      <c r="A606" t="s">
        <v>187</v>
      </c>
      <c r="B606" t="s">
        <v>188</v>
      </c>
      <c r="C606" t="s">
        <v>94</v>
      </c>
      <c r="D606" t="s">
        <v>92</v>
      </c>
      <c r="E606" t="s">
        <v>93</v>
      </c>
      <c r="F606">
        <v>629</v>
      </c>
      <c r="G606">
        <v>1826574.652631579</v>
      </c>
      <c r="H606">
        <v>2903.9342649150708</v>
      </c>
    </row>
    <row r="607" spans="1:8" x14ac:dyDescent="0.2">
      <c r="A607" t="s">
        <v>187</v>
      </c>
      <c r="B607" t="s">
        <v>188</v>
      </c>
      <c r="C607" t="s">
        <v>95</v>
      </c>
      <c r="D607" t="s">
        <v>92</v>
      </c>
      <c r="E607" t="s">
        <v>93</v>
      </c>
      <c r="F607">
        <v>629</v>
      </c>
      <c r="G607">
        <v>1731363.2736842111</v>
      </c>
      <c r="H607">
        <v>2752.5648230273619</v>
      </c>
    </row>
    <row r="608" spans="1:8" x14ac:dyDescent="0.2">
      <c r="A608" t="s">
        <v>187</v>
      </c>
      <c r="B608" t="s">
        <v>188</v>
      </c>
      <c r="C608" t="s">
        <v>96</v>
      </c>
      <c r="D608" t="s">
        <v>92</v>
      </c>
      <c r="E608" t="s">
        <v>93</v>
      </c>
      <c r="F608">
        <v>570</v>
      </c>
      <c r="G608">
        <v>984433.09473684209</v>
      </c>
      <c r="H608">
        <v>1727.0756048014771</v>
      </c>
    </row>
    <row r="609" spans="1:8" x14ac:dyDescent="0.2">
      <c r="A609" t="s">
        <v>187</v>
      </c>
      <c r="B609" t="s">
        <v>188</v>
      </c>
      <c r="C609" t="s">
        <v>97</v>
      </c>
      <c r="D609" t="s">
        <v>92</v>
      </c>
      <c r="E609" t="s">
        <v>93</v>
      </c>
      <c r="F609">
        <v>558</v>
      </c>
      <c r="G609">
        <v>1151262.568421053</v>
      </c>
      <c r="H609">
        <v>2063.1945670628179</v>
      </c>
    </row>
    <row r="610" spans="1:8" x14ac:dyDescent="0.2">
      <c r="A610" t="s">
        <v>187</v>
      </c>
      <c r="B610" t="s">
        <v>188</v>
      </c>
      <c r="C610" t="s">
        <v>98</v>
      </c>
      <c r="D610" t="s">
        <v>92</v>
      </c>
      <c r="E610" t="s">
        <v>93</v>
      </c>
      <c r="F610">
        <v>661</v>
      </c>
      <c r="G610">
        <v>1312370.2526315791</v>
      </c>
      <c r="H610">
        <v>1985.431547097699</v>
      </c>
    </row>
    <row r="611" spans="1:8" x14ac:dyDescent="0.2">
      <c r="A611" t="s">
        <v>187</v>
      </c>
      <c r="B611" t="s">
        <v>188</v>
      </c>
      <c r="C611" t="s">
        <v>99</v>
      </c>
      <c r="D611" t="s">
        <v>92</v>
      </c>
      <c r="E611" t="s">
        <v>93</v>
      </c>
      <c r="F611">
        <v>577</v>
      </c>
      <c r="G611">
        <v>1120673.084210526</v>
      </c>
      <c r="H611">
        <v>1942.241047158625</v>
      </c>
    </row>
    <row r="612" spans="1:8" x14ac:dyDescent="0.2">
      <c r="A612" t="s">
        <v>187</v>
      </c>
      <c r="B612" t="s">
        <v>188</v>
      </c>
      <c r="C612" t="s">
        <v>100</v>
      </c>
      <c r="D612" t="s">
        <v>101</v>
      </c>
      <c r="E612" t="s">
        <v>102</v>
      </c>
      <c r="F612">
        <v>617</v>
      </c>
      <c r="G612">
        <v>1614990.347368421</v>
      </c>
      <c r="H612">
        <v>2617.4884074042479</v>
      </c>
    </row>
    <row r="613" spans="1:8" x14ac:dyDescent="0.2">
      <c r="A613" t="s">
        <v>187</v>
      </c>
      <c r="B613" t="s">
        <v>188</v>
      </c>
      <c r="C613" t="s">
        <v>103</v>
      </c>
      <c r="D613" t="s">
        <v>101</v>
      </c>
      <c r="E613" t="s">
        <v>102</v>
      </c>
      <c r="F613">
        <v>628</v>
      </c>
      <c r="G613">
        <v>1807260.452631579</v>
      </c>
      <c r="H613">
        <v>2877.8032685216231</v>
      </c>
    </row>
    <row r="614" spans="1:8" x14ac:dyDescent="0.2">
      <c r="A614" t="s">
        <v>187</v>
      </c>
      <c r="B614" t="s">
        <v>188</v>
      </c>
      <c r="C614" t="s">
        <v>104</v>
      </c>
      <c r="D614" t="s">
        <v>101</v>
      </c>
      <c r="E614" t="s">
        <v>102</v>
      </c>
      <c r="F614">
        <v>629</v>
      </c>
      <c r="G614">
        <v>2306360.2736842111</v>
      </c>
      <c r="H614">
        <v>3666.7094971132119</v>
      </c>
    </row>
    <row r="615" spans="1:8" x14ac:dyDescent="0.2">
      <c r="A615" t="s">
        <v>187</v>
      </c>
      <c r="B615" t="s">
        <v>188</v>
      </c>
      <c r="C615" t="s">
        <v>105</v>
      </c>
      <c r="D615" t="s">
        <v>101</v>
      </c>
      <c r="E615" t="s">
        <v>102</v>
      </c>
      <c r="F615">
        <v>639</v>
      </c>
      <c r="G615">
        <v>2366810.2000000002</v>
      </c>
      <c r="H615">
        <v>3703.928325508607</v>
      </c>
    </row>
    <row r="616" spans="1:8" x14ac:dyDescent="0.2">
      <c r="A616" t="s">
        <v>187</v>
      </c>
      <c r="B616" t="s">
        <v>188</v>
      </c>
      <c r="C616" t="s">
        <v>106</v>
      </c>
      <c r="D616" t="s">
        <v>101</v>
      </c>
      <c r="E616" t="s">
        <v>102</v>
      </c>
      <c r="F616">
        <v>640</v>
      </c>
      <c r="G616">
        <v>2246909.3157894742</v>
      </c>
      <c r="H616">
        <v>3510.7958059210532</v>
      </c>
    </row>
    <row r="617" spans="1:8" x14ac:dyDescent="0.2">
      <c r="A617" t="s">
        <v>187</v>
      </c>
      <c r="B617" t="s">
        <v>188</v>
      </c>
      <c r="C617" t="s">
        <v>107</v>
      </c>
      <c r="D617" t="s">
        <v>101</v>
      </c>
      <c r="E617" t="s">
        <v>102</v>
      </c>
      <c r="F617">
        <v>742</v>
      </c>
      <c r="G617">
        <v>2371674.2000000011</v>
      </c>
      <c r="H617">
        <v>3196.326415094341</v>
      </c>
    </row>
    <row r="618" spans="1:8" x14ac:dyDescent="0.2">
      <c r="A618" t="s">
        <v>187</v>
      </c>
      <c r="B618" t="s">
        <v>188</v>
      </c>
      <c r="C618" t="s">
        <v>108</v>
      </c>
      <c r="D618" t="s">
        <v>101</v>
      </c>
      <c r="E618" t="s">
        <v>102</v>
      </c>
      <c r="F618">
        <v>641</v>
      </c>
      <c r="G618">
        <v>2046711.789473685</v>
      </c>
      <c r="H618">
        <v>3192.9981115034079</v>
      </c>
    </row>
    <row r="619" spans="1:8" x14ac:dyDescent="0.2">
      <c r="A619" t="s">
        <v>187</v>
      </c>
      <c r="B619" t="s">
        <v>188</v>
      </c>
      <c r="C619" t="s">
        <v>109</v>
      </c>
      <c r="F619">
        <v>641</v>
      </c>
      <c r="G619">
        <v>1947647.5894736841</v>
      </c>
      <c r="H619">
        <v>3038.4517776500529</v>
      </c>
    </row>
    <row r="620" spans="1:8" x14ac:dyDescent="0.2">
      <c r="A620" t="s">
        <v>187</v>
      </c>
      <c r="B620" t="s">
        <v>188</v>
      </c>
      <c r="C620" t="s">
        <v>110</v>
      </c>
      <c r="F620">
        <v>576</v>
      </c>
      <c r="G620">
        <v>2015484.5157894739</v>
      </c>
      <c r="H620">
        <v>3499.105062134503</v>
      </c>
    </row>
    <row r="621" spans="1:8" x14ac:dyDescent="0.2">
      <c r="A621" t="s">
        <v>187</v>
      </c>
      <c r="B621" t="s">
        <v>188</v>
      </c>
      <c r="C621" t="s">
        <v>111</v>
      </c>
      <c r="F621">
        <v>605</v>
      </c>
      <c r="G621">
        <v>2094599.2842105259</v>
      </c>
      <c r="H621">
        <v>3462.1475772074818</v>
      </c>
    </row>
    <row r="622" spans="1:8" x14ac:dyDescent="0.2">
      <c r="A622" t="s">
        <v>187</v>
      </c>
      <c r="B622" t="s">
        <v>188</v>
      </c>
      <c r="C622" t="s">
        <v>112</v>
      </c>
      <c r="D622" t="s">
        <v>113</v>
      </c>
      <c r="E622" t="s">
        <v>114</v>
      </c>
      <c r="F622">
        <v>605</v>
      </c>
      <c r="G622">
        <v>2039316.7368421049</v>
      </c>
      <c r="H622">
        <v>3370.7714658547188</v>
      </c>
    </row>
    <row r="623" spans="1:8" x14ac:dyDescent="0.2">
      <c r="A623" t="s">
        <v>187</v>
      </c>
      <c r="B623" t="s">
        <v>188</v>
      </c>
      <c r="C623" t="s">
        <v>115</v>
      </c>
      <c r="D623" t="s">
        <v>113</v>
      </c>
      <c r="E623" t="s">
        <v>114</v>
      </c>
      <c r="F623">
        <v>1202</v>
      </c>
      <c r="G623">
        <v>3123677.4</v>
      </c>
      <c r="H623">
        <v>2598.7332778702171</v>
      </c>
    </row>
    <row r="624" spans="1:8" x14ac:dyDescent="0.2">
      <c r="A624" t="s">
        <v>187</v>
      </c>
      <c r="B624" t="s">
        <v>188</v>
      </c>
      <c r="C624" t="s">
        <v>116</v>
      </c>
      <c r="D624" t="s">
        <v>113</v>
      </c>
      <c r="E624" t="s">
        <v>114</v>
      </c>
      <c r="F624">
        <v>1543</v>
      </c>
      <c r="G624">
        <v>4160261.7473684209</v>
      </c>
      <c r="H624">
        <v>2696.2162977112262</v>
      </c>
    </row>
    <row r="625" spans="1:8" x14ac:dyDescent="0.2">
      <c r="A625" t="s">
        <v>187</v>
      </c>
      <c r="B625" t="s">
        <v>188</v>
      </c>
      <c r="C625" t="s">
        <v>117</v>
      </c>
      <c r="D625" t="s">
        <v>113</v>
      </c>
      <c r="E625" t="s">
        <v>114</v>
      </c>
      <c r="F625">
        <v>1452</v>
      </c>
      <c r="G625">
        <v>6231897.2842105273</v>
      </c>
      <c r="H625">
        <v>4291.940278381906</v>
      </c>
    </row>
    <row r="626" spans="1:8" x14ac:dyDescent="0.2">
      <c r="A626" t="s">
        <v>187</v>
      </c>
      <c r="B626" t="s">
        <v>188</v>
      </c>
      <c r="C626" t="s">
        <v>118</v>
      </c>
      <c r="D626" t="s">
        <v>113</v>
      </c>
      <c r="E626" t="s">
        <v>114</v>
      </c>
      <c r="F626">
        <v>1490</v>
      </c>
      <c r="G626">
        <v>5559940.8736842116</v>
      </c>
      <c r="H626">
        <v>3731.5039420699409</v>
      </c>
    </row>
    <row r="627" spans="1:8" x14ac:dyDescent="0.2">
      <c r="A627" t="s">
        <v>187</v>
      </c>
      <c r="B627" t="s">
        <v>188</v>
      </c>
      <c r="C627" t="s">
        <v>119</v>
      </c>
      <c r="D627" t="s">
        <v>113</v>
      </c>
      <c r="E627" t="s">
        <v>114</v>
      </c>
      <c r="F627">
        <v>1568</v>
      </c>
      <c r="G627">
        <v>5363747.694736843</v>
      </c>
      <c r="H627">
        <v>3420.7574583780888</v>
      </c>
    </row>
    <row r="628" spans="1:8" x14ac:dyDescent="0.2">
      <c r="A628" t="s">
        <v>187</v>
      </c>
      <c r="B628" t="s">
        <v>188</v>
      </c>
      <c r="C628" t="s">
        <v>120</v>
      </c>
      <c r="D628" t="s">
        <v>113</v>
      </c>
      <c r="E628" t="s">
        <v>114</v>
      </c>
      <c r="F628">
        <v>1489</v>
      </c>
      <c r="G628">
        <v>7086832.8631578954</v>
      </c>
      <c r="H628">
        <v>4759.4579336184661</v>
      </c>
    </row>
    <row r="629" spans="1:8" x14ac:dyDescent="0.2">
      <c r="A629" t="s">
        <v>187</v>
      </c>
      <c r="B629" t="s">
        <v>188</v>
      </c>
      <c r="C629" t="s">
        <v>121</v>
      </c>
      <c r="D629" t="s">
        <v>113</v>
      </c>
      <c r="E629" t="s">
        <v>114</v>
      </c>
      <c r="F629">
        <v>1473</v>
      </c>
      <c r="G629">
        <v>12959229.15789474</v>
      </c>
      <c r="H629">
        <v>8797.8473577017903</v>
      </c>
    </row>
    <row r="630" spans="1:8" x14ac:dyDescent="0.2">
      <c r="A630" t="s">
        <v>187</v>
      </c>
      <c r="B630" t="s">
        <v>188</v>
      </c>
      <c r="C630" t="s">
        <v>122</v>
      </c>
      <c r="D630" t="s">
        <v>113</v>
      </c>
      <c r="E630" t="s">
        <v>114</v>
      </c>
      <c r="F630">
        <v>1778</v>
      </c>
      <c r="G630">
        <v>13309330.189473679</v>
      </c>
      <c r="H630">
        <v>7485.5625362619139</v>
      </c>
    </row>
    <row r="631" spans="1:8" x14ac:dyDescent="0.2">
      <c r="A631" t="s">
        <v>187</v>
      </c>
      <c r="B631" t="s">
        <v>188</v>
      </c>
      <c r="C631" t="s">
        <v>123</v>
      </c>
      <c r="D631" t="s">
        <v>113</v>
      </c>
      <c r="E631" t="s">
        <v>114</v>
      </c>
      <c r="F631">
        <v>2762</v>
      </c>
      <c r="G631">
        <v>15570749</v>
      </c>
      <c r="H631">
        <v>5637.4905865314986</v>
      </c>
    </row>
    <row r="632" spans="1:8" x14ac:dyDescent="0.2">
      <c r="A632" t="s">
        <v>187</v>
      </c>
      <c r="B632" t="s">
        <v>188</v>
      </c>
      <c r="C632" t="s">
        <v>124</v>
      </c>
      <c r="D632" t="s">
        <v>113</v>
      </c>
      <c r="E632" t="s">
        <v>114</v>
      </c>
      <c r="F632">
        <v>1264</v>
      </c>
      <c r="G632">
        <v>4018547.326315789</v>
      </c>
      <c r="H632">
        <v>3179.2304796802132</v>
      </c>
    </row>
    <row r="633" spans="1:8" x14ac:dyDescent="0.2">
      <c r="A633" t="s">
        <v>187</v>
      </c>
      <c r="B633" t="s">
        <v>188</v>
      </c>
      <c r="C633" t="s">
        <v>125</v>
      </c>
      <c r="D633" t="s">
        <v>126</v>
      </c>
      <c r="E633" t="s">
        <v>127</v>
      </c>
      <c r="F633">
        <v>667</v>
      </c>
      <c r="G633">
        <v>1771657.989473684</v>
      </c>
      <c r="H633">
        <v>2656.1589047581469</v>
      </c>
    </row>
    <row r="634" spans="1:8" x14ac:dyDescent="0.2">
      <c r="A634" t="s">
        <v>187</v>
      </c>
      <c r="B634" t="s">
        <v>188</v>
      </c>
      <c r="C634" t="s">
        <v>128</v>
      </c>
      <c r="D634" t="s">
        <v>126</v>
      </c>
      <c r="E634" t="s">
        <v>127</v>
      </c>
      <c r="F634">
        <v>613</v>
      </c>
      <c r="G634">
        <v>1780570.3157894739</v>
      </c>
      <c r="H634">
        <v>2904.6824074869069</v>
      </c>
    </row>
    <row r="635" spans="1:8" x14ac:dyDescent="0.2">
      <c r="A635" t="s">
        <v>187</v>
      </c>
      <c r="B635" t="s">
        <v>188</v>
      </c>
      <c r="C635" t="s">
        <v>129</v>
      </c>
      <c r="D635" t="s">
        <v>126</v>
      </c>
      <c r="E635" t="s">
        <v>127</v>
      </c>
      <c r="F635">
        <v>628</v>
      </c>
      <c r="G635">
        <v>1750824.094736842</v>
      </c>
      <c r="H635">
        <v>2787.9364565873279</v>
      </c>
    </row>
    <row r="636" spans="1:8" x14ac:dyDescent="0.2">
      <c r="A636" t="s">
        <v>187</v>
      </c>
      <c r="B636" t="s">
        <v>188</v>
      </c>
      <c r="C636" t="s">
        <v>130</v>
      </c>
      <c r="D636" t="s">
        <v>126</v>
      </c>
      <c r="E636" t="s">
        <v>127</v>
      </c>
      <c r="F636">
        <v>652</v>
      </c>
      <c r="G636">
        <v>1760015.010526316</v>
      </c>
      <c r="H636">
        <v>2699.40952534711</v>
      </c>
    </row>
    <row r="637" spans="1:8" x14ac:dyDescent="0.2">
      <c r="A637" t="s">
        <v>187</v>
      </c>
      <c r="B637" t="s">
        <v>188</v>
      </c>
      <c r="C637" t="s">
        <v>131</v>
      </c>
      <c r="D637" t="s">
        <v>126</v>
      </c>
      <c r="E637" t="s">
        <v>127</v>
      </c>
      <c r="F637">
        <v>683</v>
      </c>
      <c r="G637">
        <v>1900376.021052632</v>
      </c>
      <c r="H637">
        <v>2782.3953456114668</v>
      </c>
    </row>
    <row r="638" spans="1:8" x14ac:dyDescent="0.2">
      <c r="A638" t="s">
        <v>187</v>
      </c>
      <c r="B638" t="s">
        <v>188</v>
      </c>
      <c r="C638" t="s">
        <v>132</v>
      </c>
      <c r="D638" t="s">
        <v>126</v>
      </c>
      <c r="E638" t="s">
        <v>127</v>
      </c>
      <c r="F638">
        <v>754</v>
      </c>
      <c r="G638">
        <v>1913507.631578947</v>
      </c>
      <c r="H638">
        <v>2537.8085299455538</v>
      </c>
    </row>
    <row r="639" spans="1:8" x14ac:dyDescent="0.2">
      <c r="A639" t="s">
        <v>187</v>
      </c>
      <c r="B639" t="s">
        <v>188</v>
      </c>
      <c r="C639" t="s">
        <v>133</v>
      </c>
      <c r="D639" t="s">
        <v>126</v>
      </c>
      <c r="E639" t="s">
        <v>127</v>
      </c>
      <c r="F639">
        <v>657</v>
      </c>
      <c r="G639">
        <v>1538771.894736842</v>
      </c>
      <c r="H639">
        <v>2342.118561243291</v>
      </c>
    </row>
    <row r="640" spans="1:8" x14ac:dyDescent="0.2">
      <c r="A640" t="s">
        <v>187</v>
      </c>
      <c r="B640" t="s">
        <v>188</v>
      </c>
      <c r="C640" t="s">
        <v>134</v>
      </c>
      <c r="D640" t="s">
        <v>135</v>
      </c>
      <c r="E640" t="s">
        <v>136</v>
      </c>
      <c r="F640">
        <v>678</v>
      </c>
      <c r="G640">
        <v>1500890.12631579</v>
      </c>
      <c r="H640">
        <v>2213.702251203229</v>
      </c>
    </row>
    <row r="641" spans="1:8" x14ac:dyDescent="0.2">
      <c r="A641" t="s">
        <v>187</v>
      </c>
      <c r="B641" t="s">
        <v>188</v>
      </c>
      <c r="C641" t="s">
        <v>137</v>
      </c>
      <c r="D641" t="s">
        <v>135</v>
      </c>
      <c r="E641" t="s">
        <v>136</v>
      </c>
      <c r="F641">
        <v>712</v>
      </c>
      <c r="G641">
        <v>1377071.3263157899</v>
      </c>
      <c r="H641">
        <v>1934.088941454761</v>
      </c>
    </row>
    <row r="642" spans="1:8" x14ac:dyDescent="0.2">
      <c r="A642" t="s">
        <v>187</v>
      </c>
      <c r="B642" t="s">
        <v>188</v>
      </c>
      <c r="C642" t="s">
        <v>138</v>
      </c>
      <c r="D642" t="s">
        <v>135</v>
      </c>
      <c r="E642" t="s">
        <v>136</v>
      </c>
      <c r="F642">
        <v>610</v>
      </c>
      <c r="G642">
        <v>1357373.9578947369</v>
      </c>
      <c r="H642">
        <v>2225.203209663503</v>
      </c>
    </row>
    <row r="643" spans="1:8" x14ac:dyDescent="0.2">
      <c r="A643" t="s">
        <v>187</v>
      </c>
      <c r="B643" t="s">
        <v>188</v>
      </c>
      <c r="C643" t="s">
        <v>139</v>
      </c>
      <c r="D643" t="s">
        <v>135</v>
      </c>
      <c r="E643" t="s">
        <v>136</v>
      </c>
      <c r="F643">
        <v>578</v>
      </c>
      <c r="G643">
        <v>1270828.0736842109</v>
      </c>
      <c r="H643">
        <v>2198.664487342925</v>
      </c>
    </row>
    <row r="644" spans="1:8" x14ac:dyDescent="0.2">
      <c r="A644" t="s">
        <v>187</v>
      </c>
      <c r="B644" t="s">
        <v>188</v>
      </c>
      <c r="C644" t="s">
        <v>140</v>
      </c>
      <c r="D644" t="s">
        <v>135</v>
      </c>
      <c r="E644" t="s">
        <v>136</v>
      </c>
      <c r="F644">
        <v>599</v>
      </c>
      <c r="G644">
        <v>1352996.6</v>
      </c>
      <c r="H644">
        <v>2258.7589315525879</v>
      </c>
    </row>
    <row r="645" spans="1:8" x14ac:dyDescent="0.2">
      <c r="A645" t="s">
        <v>187</v>
      </c>
      <c r="B645" t="s">
        <v>188</v>
      </c>
      <c r="C645" t="s">
        <v>141</v>
      </c>
      <c r="D645" t="s">
        <v>135</v>
      </c>
      <c r="E645" t="s">
        <v>136</v>
      </c>
      <c r="F645">
        <v>684</v>
      </c>
      <c r="G645">
        <v>1409204.6947368421</v>
      </c>
      <c r="H645">
        <v>2060.240781779009</v>
      </c>
    </row>
    <row r="646" spans="1:8" x14ac:dyDescent="0.2">
      <c r="A646" t="s">
        <v>187</v>
      </c>
      <c r="B646" t="s">
        <v>188</v>
      </c>
      <c r="C646" t="s">
        <v>142</v>
      </c>
      <c r="D646" t="s">
        <v>135</v>
      </c>
      <c r="E646" t="s">
        <v>136</v>
      </c>
      <c r="F646">
        <v>744</v>
      </c>
      <c r="G646">
        <v>1331060.2736842111</v>
      </c>
      <c r="H646">
        <v>1789.059507640068</v>
      </c>
    </row>
    <row r="647" spans="1:8" x14ac:dyDescent="0.2">
      <c r="A647" t="s">
        <v>187</v>
      </c>
      <c r="B647" t="s">
        <v>188</v>
      </c>
      <c r="C647" t="s">
        <v>143</v>
      </c>
      <c r="D647" t="s">
        <v>144</v>
      </c>
      <c r="E647" t="s">
        <v>145</v>
      </c>
      <c r="F647">
        <v>716</v>
      </c>
      <c r="G647">
        <v>1304326.442105263</v>
      </c>
      <c r="H647">
        <v>1821.6849750073511</v>
      </c>
    </row>
    <row r="648" spans="1:8" x14ac:dyDescent="0.2">
      <c r="A648" t="s">
        <v>187</v>
      </c>
      <c r="B648" t="s">
        <v>188</v>
      </c>
      <c r="C648" t="s">
        <v>146</v>
      </c>
      <c r="D648" t="s">
        <v>144</v>
      </c>
      <c r="E648" t="s">
        <v>145</v>
      </c>
      <c r="F648">
        <v>707</v>
      </c>
      <c r="G648">
        <v>1541673.484210527</v>
      </c>
      <c r="H648">
        <v>2180.5848432963598</v>
      </c>
    </row>
    <row r="649" spans="1:8" x14ac:dyDescent="0.2">
      <c r="A649" t="s">
        <v>187</v>
      </c>
      <c r="B649" t="s">
        <v>188</v>
      </c>
      <c r="C649" t="s">
        <v>147</v>
      </c>
      <c r="D649" t="s">
        <v>144</v>
      </c>
      <c r="E649" t="s">
        <v>145</v>
      </c>
      <c r="F649">
        <v>668</v>
      </c>
      <c r="G649">
        <v>1634142.1473684211</v>
      </c>
      <c r="H649">
        <v>2446.3205798928461</v>
      </c>
    </row>
    <row r="650" spans="1:8" x14ac:dyDescent="0.2">
      <c r="A650" t="s">
        <v>187</v>
      </c>
      <c r="B650" t="s">
        <v>188</v>
      </c>
      <c r="C650" t="s">
        <v>148</v>
      </c>
      <c r="D650" t="s">
        <v>144</v>
      </c>
      <c r="E650" t="s">
        <v>145</v>
      </c>
      <c r="F650">
        <v>643</v>
      </c>
      <c r="G650">
        <v>1581118.4210526319</v>
      </c>
      <c r="H650">
        <v>2458.9711058361299</v>
      </c>
    </row>
    <row r="651" spans="1:8" x14ac:dyDescent="0.2">
      <c r="A651" t="s">
        <v>187</v>
      </c>
      <c r="B651" t="s">
        <v>188</v>
      </c>
      <c r="C651" t="s">
        <v>149</v>
      </c>
      <c r="D651" t="s">
        <v>144</v>
      </c>
      <c r="E651" t="s">
        <v>145</v>
      </c>
      <c r="F651">
        <v>655</v>
      </c>
      <c r="G651">
        <v>1604346.673684211</v>
      </c>
      <c r="H651">
        <v>2449.3842346323831</v>
      </c>
    </row>
    <row r="652" spans="1:8" x14ac:dyDescent="0.2">
      <c r="A652" t="s">
        <v>187</v>
      </c>
      <c r="B652" t="s">
        <v>188</v>
      </c>
      <c r="C652" t="s">
        <v>150</v>
      </c>
      <c r="D652" t="s">
        <v>144</v>
      </c>
      <c r="E652" t="s">
        <v>145</v>
      </c>
      <c r="F652">
        <v>722</v>
      </c>
      <c r="G652">
        <v>1827489.8105263161</v>
      </c>
      <c r="H652">
        <v>2531.149322058609</v>
      </c>
    </row>
    <row r="653" spans="1:8" x14ac:dyDescent="0.2">
      <c r="A653" t="s">
        <v>187</v>
      </c>
      <c r="B653" t="s">
        <v>188</v>
      </c>
      <c r="C653" t="s">
        <v>151</v>
      </c>
      <c r="D653" t="s">
        <v>144</v>
      </c>
      <c r="E653" t="s">
        <v>145</v>
      </c>
      <c r="F653">
        <v>765</v>
      </c>
      <c r="G653">
        <v>1813420.789473685</v>
      </c>
      <c r="H653">
        <v>2370.4846921224639</v>
      </c>
    </row>
    <row r="654" spans="1:8" x14ac:dyDescent="0.2">
      <c r="A654" t="s">
        <v>187</v>
      </c>
      <c r="B654" t="s">
        <v>188</v>
      </c>
      <c r="C654" t="s">
        <v>152</v>
      </c>
      <c r="D654" t="s">
        <v>153</v>
      </c>
      <c r="E654" t="s">
        <v>154</v>
      </c>
      <c r="F654">
        <v>714</v>
      </c>
      <c r="G654">
        <v>1501600.594736842</v>
      </c>
      <c r="H654">
        <v>2103.0820654577619</v>
      </c>
    </row>
    <row r="655" spans="1:8" x14ac:dyDescent="0.2">
      <c r="A655" t="s">
        <v>187</v>
      </c>
      <c r="B655" t="s">
        <v>188</v>
      </c>
      <c r="C655" t="s">
        <v>155</v>
      </c>
      <c r="D655" t="s">
        <v>153</v>
      </c>
      <c r="E655" t="s">
        <v>154</v>
      </c>
      <c r="F655">
        <v>734</v>
      </c>
      <c r="G655">
        <v>1413106.3505263161</v>
      </c>
      <c r="H655">
        <v>1925.2130116162341</v>
      </c>
    </row>
    <row r="656" spans="1:8" x14ac:dyDescent="0.2">
      <c r="A656" t="s">
        <v>187</v>
      </c>
      <c r="B656" t="s">
        <v>188</v>
      </c>
      <c r="C656" t="s">
        <v>156</v>
      </c>
      <c r="D656" t="s">
        <v>153</v>
      </c>
      <c r="E656" t="s">
        <v>154</v>
      </c>
      <c r="F656">
        <v>748</v>
      </c>
      <c r="G656">
        <v>1459206.008421052</v>
      </c>
      <c r="H656">
        <v>1950.8101716858989</v>
      </c>
    </row>
    <row r="657" spans="1:8" x14ac:dyDescent="0.2">
      <c r="A657" t="s">
        <v>187</v>
      </c>
      <c r="B657" t="s">
        <v>188</v>
      </c>
      <c r="C657" t="s">
        <v>157</v>
      </c>
      <c r="D657" t="s">
        <v>153</v>
      </c>
      <c r="E657" t="s">
        <v>154</v>
      </c>
      <c r="F657">
        <v>723</v>
      </c>
      <c r="G657">
        <v>1569213.56</v>
      </c>
      <c r="H657">
        <v>2170.4198616874128</v>
      </c>
    </row>
    <row r="658" spans="1:8" x14ac:dyDescent="0.2">
      <c r="A658" t="s">
        <v>187</v>
      </c>
      <c r="B658" t="s">
        <v>188</v>
      </c>
      <c r="C658" t="s">
        <v>158</v>
      </c>
      <c r="D658" t="s">
        <v>153</v>
      </c>
      <c r="E658" t="s">
        <v>154</v>
      </c>
      <c r="F658">
        <v>639</v>
      </c>
      <c r="G658">
        <v>1601559.94</v>
      </c>
      <c r="H658">
        <v>2506.3535837245699</v>
      </c>
    </row>
    <row r="659" spans="1:8" x14ac:dyDescent="0.2">
      <c r="A659" t="s">
        <v>187</v>
      </c>
      <c r="B659" t="s">
        <v>188</v>
      </c>
      <c r="C659" t="s">
        <v>159</v>
      </c>
      <c r="D659" t="s">
        <v>153</v>
      </c>
      <c r="E659" t="s">
        <v>154</v>
      </c>
      <c r="F659">
        <v>786</v>
      </c>
      <c r="G659">
        <v>1665945.218947368</v>
      </c>
      <c r="H659">
        <v>2119.523179322352</v>
      </c>
    </row>
    <row r="660" spans="1:8" x14ac:dyDescent="0.2">
      <c r="A660" t="s">
        <v>187</v>
      </c>
      <c r="B660" t="s">
        <v>188</v>
      </c>
      <c r="C660" t="s">
        <v>160</v>
      </c>
      <c r="D660" t="s">
        <v>153</v>
      </c>
      <c r="E660" t="s">
        <v>154</v>
      </c>
      <c r="F660">
        <v>742</v>
      </c>
      <c r="G660">
        <v>1712169.363157894</v>
      </c>
      <c r="H660">
        <v>2307.505880266704</v>
      </c>
    </row>
    <row r="661" spans="1:8" x14ac:dyDescent="0.2">
      <c r="A661" t="s">
        <v>187</v>
      </c>
      <c r="B661" t="s">
        <v>188</v>
      </c>
      <c r="C661" t="s">
        <v>161</v>
      </c>
      <c r="D661" t="s">
        <v>162</v>
      </c>
      <c r="E661" t="s">
        <v>163</v>
      </c>
      <c r="F661">
        <v>728</v>
      </c>
      <c r="G661">
        <v>1728983.7621052631</v>
      </c>
      <c r="H661">
        <v>2374.9776951995382</v>
      </c>
    </row>
    <row r="662" spans="1:8" x14ac:dyDescent="0.2">
      <c r="A662" t="s">
        <v>187</v>
      </c>
      <c r="B662" t="s">
        <v>188</v>
      </c>
      <c r="C662" t="s">
        <v>164</v>
      </c>
      <c r="D662" t="s">
        <v>162</v>
      </c>
      <c r="E662" t="s">
        <v>163</v>
      </c>
      <c r="F662">
        <v>739</v>
      </c>
      <c r="G662">
        <v>1563806.3621052629</v>
      </c>
      <c r="H662">
        <v>2116.1114507513712</v>
      </c>
    </row>
    <row r="663" spans="1:8" x14ac:dyDescent="0.2">
      <c r="A663" t="s">
        <v>187</v>
      </c>
      <c r="B663" t="s">
        <v>188</v>
      </c>
      <c r="C663" t="s">
        <v>165</v>
      </c>
      <c r="D663" t="s">
        <v>162</v>
      </c>
      <c r="E663" t="s">
        <v>163</v>
      </c>
      <c r="F663">
        <v>752</v>
      </c>
      <c r="G663">
        <v>1497898.818947369</v>
      </c>
      <c r="H663">
        <v>1991.8867273236281</v>
      </c>
    </row>
    <row r="664" spans="1:8" x14ac:dyDescent="0.2">
      <c r="A664" t="s">
        <v>187</v>
      </c>
      <c r="B664" t="s">
        <v>188</v>
      </c>
      <c r="C664" t="s">
        <v>166</v>
      </c>
      <c r="D664" t="s">
        <v>162</v>
      </c>
      <c r="E664" t="s">
        <v>163</v>
      </c>
      <c r="F664">
        <v>733</v>
      </c>
      <c r="G664">
        <v>1656562.5263157899</v>
      </c>
      <c r="H664">
        <v>2259.976161413083</v>
      </c>
    </row>
    <row r="665" spans="1:8" x14ac:dyDescent="0.2">
      <c r="A665" t="s">
        <v>187</v>
      </c>
      <c r="B665" t="s">
        <v>188</v>
      </c>
      <c r="C665" t="s">
        <v>167</v>
      </c>
      <c r="D665" t="s">
        <v>162</v>
      </c>
      <c r="E665" t="s">
        <v>163</v>
      </c>
      <c r="F665">
        <v>713</v>
      </c>
      <c r="G665">
        <v>1692382.526315789</v>
      </c>
      <c r="H665">
        <v>2373.6080312984418</v>
      </c>
    </row>
    <row r="666" spans="1:8" x14ac:dyDescent="0.2">
      <c r="A666" t="s">
        <v>187</v>
      </c>
      <c r="B666" t="s">
        <v>188</v>
      </c>
      <c r="C666" t="s">
        <v>168</v>
      </c>
      <c r="D666" t="s">
        <v>162</v>
      </c>
      <c r="E666" t="s">
        <v>163</v>
      </c>
      <c r="F666">
        <v>801</v>
      </c>
      <c r="G666">
        <v>1695000.421052631</v>
      </c>
      <c r="H666">
        <v>2116.105394572573</v>
      </c>
    </row>
    <row r="667" spans="1:8" x14ac:dyDescent="0.2">
      <c r="A667" t="s">
        <v>187</v>
      </c>
      <c r="B667" t="s">
        <v>188</v>
      </c>
      <c r="C667" t="s">
        <v>169</v>
      </c>
      <c r="D667" t="s">
        <v>162</v>
      </c>
      <c r="E667" t="s">
        <v>163</v>
      </c>
      <c r="F667">
        <v>807</v>
      </c>
      <c r="G667">
        <v>1698319.368421053</v>
      </c>
      <c r="H667">
        <v>2104.4849670645008</v>
      </c>
    </row>
    <row r="668" spans="1:8" x14ac:dyDescent="0.2">
      <c r="A668" t="s">
        <v>187</v>
      </c>
      <c r="B668" t="s">
        <v>188</v>
      </c>
      <c r="C668" t="s">
        <v>170</v>
      </c>
      <c r="D668" t="s">
        <v>171</v>
      </c>
      <c r="E668" t="s">
        <v>172</v>
      </c>
      <c r="F668">
        <v>893</v>
      </c>
      <c r="G668" s="16">
        <v>1606373</v>
      </c>
      <c r="H668">
        <v>0</v>
      </c>
    </row>
    <row r="669" spans="1:8" x14ac:dyDescent="0.2">
      <c r="A669" t="s">
        <v>187</v>
      </c>
      <c r="B669" t="s">
        <v>188</v>
      </c>
      <c r="C669" t="s">
        <v>173</v>
      </c>
      <c r="D669" t="s">
        <v>171</v>
      </c>
      <c r="E669" t="s">
        <v>172</v>
      </c>
      <c r="F669">
        <v>750</v>
      </c>
      <c r="G669" s="16">
        <v>1499113</v>
      </c>
      <c r="H669">
        <v>0</v>
      </c>
    </row>
    <row r="670" spans="1:8" x14ac:dyDescent="0.2">
      <c r="A670" t="s">
        <v>187</v>
      </c>
      <c r="B670" t="s">
        <v>188</v>
      </c>
      <c r="C670" t="s">
        <v>174</v>
      </c>
      <c r="D670" t="s">
        <v>171</v>
      </c>
      <c r="E670" t="s">
        <v>172</v>
      </c>
      <c r="F670">
        <v>799</v>
      </c>
      <c r="G670" s="16">
        <v>1505140</v>
      </c>
      <c r="H670">
        <v>0</v>
      </c>
    </row>
    <row r="671" spans="1:8" x14ac:dyDescent="0.2">
      <c r="A671" t="s">
        <v>187</v>
      </c>
      <c r="B671" t="s">
        <v>188</v>
      </c>
      <c r="C671" t="s">
        <v>175</v>
      </c>
      <c r="D671" t="s">
        <v>171</v>
      </c>
      <c r="E671" t="s">
        <v>172</v>
      </c>
      <c r="F671">
        <v>668</v>
      </c>
      <c r="G671" s="16">
        <v>1516083</v>
      </c>
      <c r="H671">
        <v>0</v>
      </c>
    </row>
    <row r="672" spans="1:8" x14ac:dyDescent="0.2">
      <c r="A672" t="s">
        <v>187</v>
      </c>
      <c r="B672" t="s">
        <v>188</v>
      </c>
      <c r="C672" t="s">
        <v>176</v>
      </c>
      <c r="D672" t="s">
        <v>171</v>
      </c>
      <c r="E672" t="s">
        <v>172</v>
      </c>
      <c r="F672">
        <v>698</v>
      </c>
      <c r="G672" s="16">
        <v>1667517</v>
      </c>
      <c r="H672">
        <v>0</v>
      </c>
    </row>
    <row r="673" spans="1:8" x14ac:dyDescent="0.2">
      <c r="A673" t="s">
        <v>187</v>
      </c>
      <c r="B673" t="s">
        <v>188</v>
      </c>
      <c r="C673" t="s">
        <v>177</v>
      </c>
      <c r="D673" t="s">
        <v>171</v>
      </c>
      <c r="E673" t="s">
        <v>172</v>
      </c>
      <c r="F673">
        <v>792</v>
      </c>
      <c r="G673" s="16">
        <v>1878763</v>
      </c>
      <c r="H673">
        <v>0</v>
      </c>
    </row>
    <row r="674" spans="1:8" x14ac:dyDescent="0.2">
      <c r="A674" t="s">
        <v>187</v>
      </c>
      <c r="B674" t="s">
        <v>188</v>
      </c>
      <c r="C674" t="s">
        <v>178</v>
      </c>
      <c r="D674" t="s">
        <v>171</v>
      </c>
      <c r="E674" t="s">
        <v>172</v>
      </c>
      <c r="F674">
        <v>845</v>
      </c>
      <c r="G674" s="16">
        <v>1891984</v>
      </c>
      <c r="H674">
        <v>0</v>
      </c>
    </row>
    <row r="675" spans="1:8" x14ac:dyDescent="0.2">
      <c r="A675" t="s">
        <v>187</v>
      </c>
      <c r="B675" t="s">
        <v>188</v>
      </c>
      <c r="C675" t="s">
        <v>179</v>
      </c>
      <c r="D675" t="s">
        <v>180</v>
      </c>
      <c r="E675" t="s">
        <v>181</v>
      </c>
      <c r="F675">
        <v>841</v>
      </c>
      <c r="G675" s="16">
        <v>1962812</v>
      </c>
      <c r="H675">
        <v>0</v>
      </c>
    </row>
    <row r="676" spans="1:8" x14ac:dyDescent="0.2">
      <c r="A676" t="s">
        <v>187</v>
      </c>
      <c r="B676" t="s">
        <v>188</v>
      </c>
      <c r="C676" t="s">
        <v>182</v>
      </c>
      <c r="D676" t="s">
        <v>180</v>
      </c>
      <c r="E676" t="s">
        <v>181</v>
      </c>
      <c r="F676">
        <v>2</v>
      </c>
      <c r="G676">
        <v>0</v>
      </c>
      <c r="H676">
        <v>0</v>
      </c>
    </row>
    <row r="677" spans="1:8" x14ac:dyDescent="0.2">
      <c r="A677" t="s">
        <v>189</v>
      </c>
      <c r="B677" t="s">
        <v>190</v>
      </c>
      <c r="C677" t="s">
        <v>10</v>
      </c>
      <c r="D677" t="s">
        <v>11</v>
      </c>
      <c r="E677" t="s">
        <v>12</v>
      </c>
      <c r="F677">
        <v>4813</v>
      </c>
      <c r="G677">
        <v>8424586</v>
      </c>
      <c r="H677">
        <v>1750.381466860586</v>
      </c>
    </row>
    <row r="678" spans="1:8" x14ac:dyDescent="0.2">
      <c r="A678" t="s">
        <v>189</v>
      </c>
      <c r="B678" t="s">
        <v>190</v>
      </c>
      <c r="C678" t="s">
        <v>13</v>
      </c>
      <c r="D678" t="s">
        <v>11</v>
      </c>
      <c r="E678" t="s">
        <v>12</v>
      </c>
      <c r="F678">
        <v>4532</v>
      </c>
      <c r="G678">
        <v>8048134</v>
      </c>
      <c r="H678">
        <v>1775.8459841129741</v>
      </c>
    </row>
    <row r="679" spans="1:8" x14ac:dyDescent="0.2">
      <c r="A679" t="s">
        <v>189</v>
      </c>
      <c r="B679" t="s">
        <v>190</v>
      </c>
      <c r="C679" t="s">
        <v>14</v>
      </c>
      <c r="D679" t="s">
        <v>11</v>
      </c>
      <c r="E679" t="s">
        <v>12</v>
      </c>
      <c r="F679">
        <v>4731</v>
      </c>
      <c r="G679">
        <v>9495292</v>
      </c>
      <c r="H679">
        <v>2007.0369900655251</v>
      </c>
    </row>
    <row r="680" spans="1:8" x14ac:dyDescent="0.2">
      <c r="A680" t="s">
        <v>189</v>
      </c>
      <c r="B680" t="s">
        <v>190</v>
      </c>
      <c r="C680" t="s">
        <v>15</v>
      </c>
      <c r="D680" t="s">
        <v>11</v>
      </c>
      <c r="E680" t="s">
        <v>12</v>
      </c>
      <c r="F680">
        <v>4688</v>
      </c>
      <c r="G680">
        <v>17040670.493723851</v>
      </c>
      <c r="H680">
        <v>3634.9553100946782</v>
      </c>
    </row>
    <row r="681" spans="1:8" x14ac:dyDescent="0.2">
      <c r="A681" t="s">
        <v>189</v>
      </c>
      <c r="B681" t="s">
        <v>190</v>
      </c>
      <c r="C681" t="s">
        <v>16</v>
      </c>
      <c r="D681" t="s">
        <v>11</v>
      </c>
      <c r="E681" t="s">
        <v>12</v>
      </c>
      <c r="F681">
        <v>6637</v>
      </c>
      <c r="G681">
        <v>23681464</v>
      </c>
      <c r="H681">
        <v>3568.0976344734072</v>
      </c>
    </row>
    <row r="682" spans="1:8" x14ac:dyDescent="0.2">
      <c r="A682" t="s">
        <v>189</v>
      </c>
      <c r="B682" t="s">
        <v>190</v>
      </c>
      <c r="C682" t="s">
        <v>17</v>
      </c>
      <c r="D682" t="s">
        <v>11</v>
      </c>
      <c r="E682" t="s">
        <v>12</v>
      </c>
      <c r="F682">
        <v>11398</v>
      </c>
      <c r="G682">
        <v>30409470.838420112</v>
      </c>
      <c r="H682">
        <v>2667.965506090552</v>
      </c>
    </row>
    <row r="683" spans="1:8" x14ac:dyDescent="0.2">
      <c r="A683" t="s">
        <v>189</v>
      </c>
      <c r="B683" t="s">
        <v>190</v>
      </c>
      <c r="C683" t="s">
        <v>18</v>
      </c>
      <c r="D683" t="s">
        <v>11</v>
      </c>
      <c r="E683" t="s">
        <v>12</v>
      </c>
      <c r="F683">
        <v>3327</v>
      </c>
      <c r="G683">
        <v>7985016</v>
      </c>
      <c r="H683">
        <v>2400.0649233543731</v>
      </c>
    </row>
    <row r="684" spans="1:8" x14ac:dyDescent="0.2">
      <c r="A684" t="s">
        <v>189</v>
      </c>
      <c r="B684" t="s">
        <v>190</v>
      </c>
      <c r="C684" t="s">
        <v>19</v>
      </c>
      <c r="D684" t="s">
        <v>20</v>
      </c>
      <c r="E684" t="s">
        <v>21</v>
      </c>
      <c r="F684">
        <v>831</v>
      </c>
      <c r="G684">
        <v>3591376</v>
      </c>
      <c r="H684">
        <v>4321.7521058965103</v>
      </c>
    </row>
    <row r="685" spans="1:8" x14ac:dyDescent="0.2">
      <c r="A685" t="s">
        <v>189</v>
      </c>
      <c r="B685" t="s">
        <v>190</v>
      </c>
      <c r="C685" t="s">
        <v>22</v>
      </c>
      <c r="D685" t="s">
        <v>20</v>
      </c>
      <c r="E685" t="s">
        <v>21</v>
      </c>
      <c r="F685">
        <v>750</v>
      </c>
      <c r="G685">
        <v>3865425</v>
      </c>
      <c r="H685">
        <v>5153.8999999999996</v>
      </c>
    </row>
    <row r="686" spans="1:8" x14ac:dyDescent="0.2">
      <c r="A686" t="s">
        <v>189</v>
      </c>
      <c r="B686" t="s">
        <v>190</v>
      </c>
      <c r="C686" t="s">
        <v>23</v>
      </c>
      <c r="D686" t="s">
        <v>20</v>
      </c>
      <c r="E686" t="s">
        <v>21</v>
      </c>
      <c r="F686">
        <v>828</v>
      </c>
      <c r="G686">
        <v>3758918</v>
      </c>
      <c r="H686">
        <v>4539.7560386473433</v>
      </c>
    </row>
    <row r="687" spans="1:8" x14ac:dyDescent="0.2">
      <c r="A687" t="s">
        <v>189</v>
      </c>
      <c r="B687" t="s">
        <v>190</v>
      </c>
      <c r="C687" t="s">
        <v>24</v>
      </c>
      <c r="D687" t="s">
        <v>20</v>
      </c>
      <c r="E687" t="s">
        <v>21</v>
      </c>
      <c r="F687">
        <v>771</v>
      </c>
      <c r="G687">
        <v>3158306.3903133911</v>
      </c>
      <c r="H687">
        <v>4096.3766411328024</v>
      </c>
    </row>
    <row r="688" spans="1:8" x14ac:dyDescent="0.2">
      <c r="A688" t="s">
        <v>189</v>
      </c>
      <c r="B688" t="s">
        <v>190</v>
      </c>
      <c r="C688" t="s">
        <v>25</v>
      </c>
      <c r="D688" t="s">
        <v>20</v>
      </c>
      <c r="E688" t="s">
        <v>21</v>
      </c>
      <c r="F688">
        <v>1002</v>
      </c>
      <c r="G688">
        <v>3937465.9512761021</v>
      </c>
      <c r="H688">
        <v>3929.6067378005009</v>
      </c>
    </row>
    <row r="689" spans="1:8" x14ac:dyDescent="0.2">
      <c r="A689" t="s">
        <v>189</v>
      </c>
      <c r="B689" t="s">
        <v>190</v>
      </c>
      <c r="C689" t="s">
        <v>26</v>
      </c>
      <c r="D689" t="s">
        <v>20</v>
      </c>
      <c r="E689" t="s">
        <v>21</v>
      </c>
      <c r="F689">
        <v>1165</v>
      </c>
      <c r="G689">
        <v>4373578.2554112561</v>
      </c>
      <c r="H689">
        <v>3754.144425245714</v>
      </c>
    </row>
    <row r="690" spans="1:8" x14ac:dyDescent="0.2">
      <c r="A690" t="s">
        <v>189</v>
      </c>
      <c r="B690" t="s">
        <v>190</v>
      </c>
      <c r="C690" t="s">
        <v>27</v>
      </c>
      <c r="D690" t="s">
        <v>20</v>
      </c>
      <c r="E690" t="s">
        <v>21</v>
      </c>
      <c r="F690">
        <v>921</v>
      </c>
      <c r="G690">
        <v>3210049.8723404249</v>
      </c>
      <c r="H690">
        <v>3485.396169750733</v>
      </c>
    </row>
    <row r="691" spans="1:8" x14ac:dyDescent="0.2">
      <c r="A691" t="s">
        <v>189</v>
      </c>
      <c r="B691" t="s">
        <v>190</v>
      </c>
      <c r="C691" t="s">
        <v>28</v>
      </c>
      <c r="D691" t="s">
        <v>29</v>
      </c>
      <c r="E691" t="s">
        <v>30</v>
      </c>
      <c r="F691">
        <v>897</v>
      </c>
      <c r="G691">
        <v>3404135.4736842099</v>
      </c>
      <c r="H691">
        <v>3795.0228246200791</v>
      </c>
    </row>
    <row r="692" spans="1:8" x14ac:dyDescent="0.2">
      <c r="A692" t="s">
        <v>189</v>
      </c>
      <c r="B692" t="s">
        <v>190</v>
      </c>
      <c r="C692" t="s">
        <v>31</v>
      </c>
      <c r="D692" t="s">
        <v>29</v>
      </c>
      <c r="E692" t="s">
        <v>30</v>
      </c>
      <c r="F692">
        <v>794</v>
      </c>
      <c r="G692">
        <v>2872820.456140351</v>
      </c>
      <c r="H692">
        <v>3618.1617835520792</v>
      </c>
    </row>
    <row r="693" spans="1:8" x14ac:dyDescent="0.2">
      <c r="A693" t="s">
        <v>189</v>
      </c>
      <c r="B693" t="s">
        <v>190</v>
      </c>
      <c r="C693" t="s">
        <v>32</v>
      </c>
      <c r="D693" t="s">
        <v>29</v>
      </c>
      <c r="E693" t="s">
        <v>30</v>
      </c>
      <c r="F693">
        <v>739</v>
      </c>
      <c r="G693">
        <v>2681000</v>
      </c>
      <c r="H693">
        <v>3627.8755074424898</v>
      </c>
    </row>
    <row r="694" spans="1:8" x14ac:dyDescent="0.2">
      <c r="A694" t="s">
        <v>189</v>
      </c>
      <c r="B694" t="s">
        <v>190</v>
      </c>
      <c r="C694" t="s">
        <v>33</v>
      </c>
      <c r="D694" t="s">
        <v>29</v>
      </c>
      <c r="E694" t="s">
        <v>30</v>
      </c>
      <c r="F694">
        <v>762</v>
      </c>
      <c r="G694">
        <v>2517370.5732484078</v>
      </c>
      <c r="H694">
        <v>3303.6359228981728</v>
      </c>
    </row>
    <row r="695" spans="1:8" x14ac:dyDescent="0.2">
      <c r="A695" t="s">
        <v>189</v>
      </c>
      <c r="B695" t="s">
        <v>190</v>
      </c>
      <c r="C695" t="s">
        <v>34</v>
      </c>
      <c r="D695" t="s">
        <v>29</v>
      </c>
      <c r="E695" t="s">
        <v>30</v>
      </c>
      <c r="F695">
        <v>868</v>
      </c>
      <c r="G695">
        <v>3342733.8683473389</v>
      </c>
      <c r="H695">
        <v>3851.0758851927872</v>
      </c>
    </row>
    <row r="696" spans="1:8" x14ac:dyDescent="0.2">
      <c r="A696" t="s">
        <v>189</v>
      </c>
      <c r="B696" t="s">
        <v>190</v>
      </c>
      <c r="C696" t="s">
        <v>35</v>
      </c>
      <c r="D696" t="s">
        <v>29</v>
      </c>
      <c r="E696" t="s">
        <v>30</v>
      </c>
      <c r="F696">
        <v>968</v>
      </c>
      <c r="G696">
        <v>4473465.0526315793</v>
      </c>
      <c r="H696">
        <v>4621.3481948673343</v>
      </c>
    </row>
    <row r="697" spans="1:8" x14ac:dyDescent="0.2">
      <c r="A697" t="s">
        <v>189</v>
      </c>
      <c r="B697" t="s">
        <v>190</v>
      </c>
      <c r="C697" t="s">
        <v>36</v>
      </c>
      <c r="D697" t="s">
        <v>29</v>
      </c>
      <c r="E697" t="s">
        <v>30</v>
      </c>
      <c r="F697">
        <v>851</v>
      </c>
      <c r="G697">
        <v>2973065.6842105258</v>
      </c>
      <c r="H697">
        <v>3493.6142000123691</v>
      </c>
    </row>
    <row r="698" spans="1:8" x14ac:dyDescent="0.2">
      <c r="A698" t="s">
        <v>189</v>
      </c>
      <c r="B698" t="s">
        <v>190</v>
      </c>
      <c r="C698" t="s">
        <v>37</v>
      </c>
      <c r="D698" t="s">
        <v>38</v>
      </c>
      <c r="E698" t="s">
        <v>39</v>
      </c>
      <c r="F698">
        <v>810</v>
      </c>
      <c r="G698">
        <v>3115004.631578947</v>
      </c>
      <c r="H698">
        <v>3845.6847303443801</v>
      </c>
    </row>
    <row r="699" spans="1:8" x14ac:dyDescent="0.2">
      <c r="A699" t="s">
        <v>189</v>
      </c>
      <c r="B699" t="s">
        <v>190</v>
      </c>
      <c r="C699" t="s">
        <v>40</v>
      </c>
      <c r="D699" t="s">
        <v>38</v>
      </c>
      <c r="E699" t="s">
        <v>39</v>
      </c>
      <c r="F699">
        <v>826</v>
      </c>
      <c r="G699">
        <v>2874117.2631578948</v>
      </c>
      <c r="H699">
        <v>3479.5608512807439</v>
      </c>
    </row>
    <row r="700" spans="1:8" x14ac:dyDescent="0.2">
      <c r="A700" t="s">
        <v>189</v>
      </c>
      <c r="B700" t="s">
        <v>190</v>
      </c>
      <c r="C700" t="s">
        <v>41</v>
      </c>
      <c r="D700" t="s">
        <v>38</v>
      </c>
      <c r="E700" t="s">
        <v>39</v>
      </c>
      <c r="F700">
        <v>856</v>
      </c>
      <c r="G700">
        <v>2864853.0526315789</v>
      </c>
      <c r="H700">
        <v>3346.7909493359571</v>
      </c>
    </row>
    <row r="701" spans="1:8" x14ac:dyDescent="0.2">
      <c r="A701" t="s">
        <v>189</v>
      </c>
      <c r="B701" t="s">
        <v>190</v>
      </c>
      <c r="C701" t="s">
        <v>42</v>
      </c>
      <c r="D701" t="s">
        <v>38</v>
      </c>
      <c r="E701" t="s">
        <v>39</v>
      </c>
      <c r="F701">
        <v>870</v>
      </c>
      <c r="G701">
        <v>2925110.9473684211</v>
      </c>
      <c r="H701">
        <v>3362.19649122807</v>
      </c>
    </row>
    <row r="702" spans="1:8" x14ac:dyDescent="0.2">
      <c r="A702" t="s">
        <v>189</v>
      </c>
      <c r="B702" t="s">
        <v>190</v>
      </c>
      <c r="C702" t="s">
        <v>43</v>
      </c>
      <c r="D702" t="s">
        <v>38</v>
      </c>
      <c r="E702" t="s">
        <v>39</v>
      </c>
      <c r="F702">
        <v>987</v>
      </c>
      <c r="G702">
        <v>3504647.789473684</v>
      </c>
      <c r="H702">
        <v>3550.808297339092</v>
      </c>
    </row>
    <row r="703" spans="1:8" x14ac:dyDescent="0.2">
      <c r="A703" t="s">
        <v>189</v>
      </c>
      <c r="B703" t="s">
        <v>190</v>
      </c>
      <c r="C703" t="s">
        <v>44</v>
      </c>
      <c r="D703" t="s">
        <v>38</v>
      </c>
      <c r="E703" t="s">
        <v>39</v>
      </c>
      <c r="F703">
        <v>1157</v>
      </c>
      <c r="G703">
        <v>4338048.3157894742</v>
      </c>
      <c r="H703">
        <v>3749.3935313651459</v>
      </c>
    </row>
    <row r="704" spans="1:8" x14ac:dyDescent="0.2">
      <c r="A704" t="s">
        <v>189</v>
      </c>
      <c r="B704" t="s">
        <v>190</v>
      </c>
      <c r="C704" t="s">
        <v>45</v>
      </c>
      <c r="D704" t="s">
        <v>38</v>
      </c>
      <c r="E704" t="s">
        <v>39</v>
      </c>
      <c r="F704">
        <v>978</v>
      </c>
      <c r="G704">
        <v>2977194.1052631582</v>
      </c>
      <c r="H704">
        <v>3044.1657518028201</v>
      </c>
    </row>
    <row r="705" spans="1:8" x14ac:dyDescent="0.2">
      <c r="A705" t="s">
        <v>189</v>
      </c>
      <c r="B705" t="s">
        <v>190</v>
      </c>
      <c r="C705" t="s">
        <v>46</v>
      </c>
      <c r="D705" t="s">
        <v>47</v>
      </c>
      <c r="E705" t="s">
        <v>48</v>
      </c>
      <c r="F705">
        <v>1179</v>
      </c>
      <c r="G705">
        <v>3817335.0521026179</v>
      </c>
      <c r="H705">
        <v>3237.7735810878871</v>
      </c>
    </row>
    <row r="706" spans="1:8" x14ac:dyDescent="0.2">
      <c r="A706" t="s">
        <v>189</v>
      </c>
      <c r="B706" t="s">
        <v>190</v>
      </c>
      <c r="C706" t="s">
        <v>49</v>
      </c>
      <c r="D706" t="s">
        <v>47</v>
      </c>
      <c r="E706" t="s">
        <v>48</v>
      </c>
      <c r="F706">
        <v>911</v>
      </c>
      <c r="G706">
        <v>3301695.1578947371</v>
      </c>
      <c r="H706">
        <v>3624.2537408284711</v>
      </c>
    </row>
    <row r="707" spans="1:8" x14ac:dyDescent="0.2">
      <c r="A707" t="s">
        <v>189</v>
      </c>
      <c r="B707" t="s">
        <v>190</v>
      </c>
      <c r="C707" t="s">
        <v>50</v>
      </c>
      <c r="D707" t="s">
        <v>47</v>
      </c>
      <c r="E707" t="s">
        <v>48</v>
      </c>
      <c r="F707">
        <v>989</v>
      </c>
      <c r="G707">
        <v>3905183.4947368419</v>
      </c>
      <c r="H707">
        <v>3948.6182959927619</v>
      </c>
    </row>
    <row r="708" spans="1:8" x14ac:dyDescent="0.2">
      <c r="A708" t="s">
        <v>189</v>
      </c>
      <c r="B708" t="s">
        <v>190</v>
      </c>
      <c r="C708" t="s">
        <v>51</v>
      </c>
      <c r="D708" t="s">
        <v>47</v>
      </c>
      <c r="E708" t="s">
        <v>48</v>
      </c>
      <c r="F708">
        <v>1002</v>
      </c>
      <c r="G708">
        <v>3756798.094736842</v>
      </c>
      <c r="H708">
        <v>3749.299495745352</v>
      </c>
    </row>
    <row r="709" spans="1:8" x14ac:dyDescent="0.2">
      <c r="A709" t="s">
        <v>189</v>
      </c>
      <c r="B709" t="s">
        <v>190</v>
      </c>
      <c r="C709" t="s">
        <v>52</v>
      </c>
      <c r="D709" t="s">
        <v>47</v>
      </c>
      <c r="E709" t="s">
        <v>48</v>
      </c>
      <c r="F709">
        <v>1002</v>
      </c>
      <c r="G709">
        <v>4059593.0421052631</v>
      </c>
      <c r="H709">
        <v>4051.4900619813011</v>
      </c>
    </row>
    <row r="710" spans="1:8" x14ac:dyDescent="0.2">
      <c r="A710" t="s">
        <v>189</v>
      </c>
      <c r="B710" t="s">
        <v>190</v>
      </c>
      <c r="C710" t="s">
        <v>53</v>
      </c>
      <c r="D710" t="s">
        <v>47</v>
      </c>
      <c r="E710" t="s">
        <v>48</v>
      </c>
      <c r="F710">
        <v>998</v>
      </c>
      <c r="G710">
        <v>4204635.8000000007</v>
      </c>
      <c r="H710">
        <v>4213.0619238476966</v>
      </c>
    </row>
    <row r="711" spans="1:8" x14ac:dyDescent="0.2">
      <c r="A711" t="s">
        <v>189</v>
      </c>
      <c r="B711" t="s">
        <v>190</v>
      </c>
      <c r="C711" t="s">
        <v>54</v>
      </c>
      <c r="D711" t="s">
        <v>47</v>
      </c>
      <c r="E711" t="s">
        <v>48</v>
      </c>
      <c r="F711">
        <v>1092</v>
      </c>
      <c r="G711">
        <v>4226199.0609059967</v>
      </c>
      <c r="H711">
        <v>3870.1456601703271</v>
      </c>
    </row>
    <row r="712" spans="1:8" x14ac:dyDescent="0.2">
      <c r="A712" t="s">
        <v>189</v>
      </c>
      <c r="B712" t="s">
        <v>190</v>
      </c>
      <c r="C712" t="s">
        <v>55</v>
      </c>
      <c r="D712" t="s">
        <v>56</v>
      </c>
      <c r="E712" t="s">
        <v>57</v>
      </c>
      <c r="F712">
        <v>1350</v>
      </c>
      <c r="G712">
        <v>5378232.6210526321</v>
      </c>
      <c r="H712">
        <v>3983.876015594542</v>
      </c>
    </row>
    <row r="713" spans="1:8" x14ac:dyDescent="0.2">
      <c r="A713" t="s">
        <v>189</v>
      </c>
      <c r="B713" t="s">
        <v>190</v>
      </c>
      <c r="C713" t="s">
        <v>58</v>
      </c>
      <c r="D713" t="s">
        <v>56</v>
      </c>
      <c r="E713" t="s">
        <v>57</v>
      </c>
      <c r="F713">
        <v>990</v>
      </c>
      <c r="G713">
        <v>3317811.25263158</v>
      </c>
      <c r="H713">
        <v>3351.3244976076562</v>
      </c>
    </row>
    <row r="714" spans="1:8" x14ac:dyDescent="0.2">
      <c r="A714" t="s">
        <v>189</v>
      </c>
      <c r="B714" t="s">
        <v>190</v>
      </c>
      <c r="C714" t="s">
        <v>59</v>
      </c>
      <c r="D714" t="s">
        <v>56</v>
      </c>
      <c r="E714" t="s">
        <v>57</v>
      </c>
      <c r="F714">
        <v>1125</v>
      </c>
      <c r="G714">
        <v>3951147.2</v>
      </c>
      <c r="H714">
        <v>3512.1308444444439</v>
      </c>
    </row>
    <row r="715" spans="1:8" x14ac:dyDescent="0.2">
      <c r="A715" t="s">
        <v>189</v>
      </c>
      <c r="B715" t="s">
        <v>190</v>
      </c>
      <c r="C715" t="s">
        <v>60</v>
      </c>
      <c r="D715" t="s">
        <v>56</v>
      </c>
      <c r="E715" t="s">
        <v>57</v>
      </c>
      <c r="F715">
        <v>1021</v>
      </c>
      <c r="G715">
        <v>3318316.302795643</v>
      </c>
      <c r="H715">
        <v>3250.0649390750659</v>
      </c>
    </row>
    <row r="716" spans="1:8" x14ac:dyDescent="0.2">
      <c r="A716" t="s">
        <v>189</v>
      </c>
      <c r="B716" t="s">
        <v>190</v>
      </c>
      <c r="C716" t="s">
        <v>61</v>
      </c>
      <c r="D716" t="s">
        <v>56</v>
      </c>
      <c r="E716" t="s">
        <v>57</v>
      </c>
      <c r="F716">
        <v>1161</v>
      </c>
      <c r="G716">
        <v>4526732.1448139176</v>
      </c>
      <c r="H716">
        <v>3898.994095446958</v>
      </c>
    </row>
    <row r="717" spans="1:8" x14ac:dyDescent="0.2">
      <c r="A717" t="s">
        <v>189</v>
      </c>
      <c r="B717" t="s">
        <v>190</v>
      </c>
      <c r="C717" t="s">
        <v>62</v>
      </c>
      <c r="D717" t="s">
        <v>56</v>
      </c>
      <c r="E717" t="s">
        <v>57</v>
      </c>
      <c r="F717">
        <v>1421</v>
      </c>
      <c r="G717">
        <v>5682009.2232239787</v>
      </c>
      <c r="H717">
        <v>3998.5990311217301</v>
      </c>
    </row>
    <row r="718" spans="1:8" x14ac:dyDescent="0.2">
      <c r="A718" t="s">
        <v>189</v>
      </c>
      <c r="B718" t="s">
        <v>190</v>
      </c>
      <c r="C718" t="s">
        <v>63</v>
      </c>
      <c r="D718" t="s">
        <v>56</v>
      </c>
      <c r="E718" t="s">
        <v>57</v>
      </c>
      <c r="F718">
        <v>1157</v>
      </c>
      <c r="G718">
        <v>4331949.6492359936</v>
      </c>
      <c r="H718">
        <v>3744.1224280345668</v>
      </c>
    </row>
    <row r="719" spans="1:8" x14ac:dyDescent="0.2">
      <c r="A719" t="s">
        <v>189</v>
      </c>
      <c r="B719" t="s">
        <v>190</v>
      </c>
      <c r="C719" t="s">
        <v>64</v>
      </c>
      <c r="D719" t="s">
        <v>65</v>
      </c>
      <c r="E719" t="s">
        <v>66</v>
      </c>
      <c r="F719">
        <v>1042</v>
      </c>
      <c r="G719">
        <v>3179613.9440540131</v>
      </c>
      <c r="H719">
        <v>3051.4529213570181</v>
      </c>
    </row>
    <row r="720" spans="1:8" x14ac:dyDescent="0.2">
      <c r="A720" t="s">
        <v>189</v>
      </c>
      <c r="B720" t="s">
        <v>190</v>
      </c>
      <c r="C720" t="s">
        <v>67</v>
      </c>
      <c r="D720" t="s">
        <v>65</v>
      </c>
      <c r="E720" t="s">
        <v>66</v>
      </c>
      <c r="F720">
        <v>1094</v>
      </c>
      <c r="G720">
        <v>3433562.347368421</v>
      </c>
      <c r="H720">
        <v>3138.5396228230538</v>
      </c>
    </row>
    <row r="721" spans="1:8" x14ac:dyDescent="0.2">
      <c r="A721" t="s">
        <v>189</v>
      </c>
      <c r="B721" t="s">
        <v>190</v>
      </c>
      <c r="C721" t="s">
        <v>68</v>
      </c>
      <c r="D721" t="s">
        <v>65</v>
      </c>
      <c r="E721" t="s">
        <v>66</v>
      </c>
      <c r="F721">
        <v>1092</v>
      </c>
      <c r="G721">
        <v>3161181.3010284328</v>
      </c>
      <c r="H721">
        <v>2894.8546712714592</v>
      </c>
    </row>
    <row r="722" spans="1:8" x14ac:dyDescent="0.2">
      <c r="A722" t="s">
        <v>189</v>
      </c>
      <c r="B722" t="s">
        <v>190</v>
      </c>
      <c r="C722" t="s">
        <v>69</v>
      </c>
      <c r="D722" t="s">
        <v>65</v>
      </c>
      <c r="E722" t="s">
        <v>66</v>
      </c>
      <c r="F722">
        <v>958</v>
      </c>
      <c r="G722">
        <v>3071477.2736842111</v>
      </c>
      <c r="H722">
        <v>3206.1349412152522</v>
      </c>
    </row>
    <row r="723" spans="1:8" x14ac:dyDescent="0.2">
      <c r="A723" t="s">
        <v>189</v>
      </c>
      <c r="B723" t="s">
        <v>190</v>
      </c>
      <c r="C723" t="s">
        <v>70</v>
      </c>
      <c r="D723" t="s">
        <v>65</v>
      </c>
      <c r="E723" t="s">
        <v>66</v>
      </c>
      <c r="F723">
        <v>987</v>
      </c>
      <c r="G723">
        <v>3385500.3166901208</v>
      </c>
      <c r="H723">
        <v>3430.0915062716522</v>
      </c>
    </row>
    <row r="724" spans="1:8" x14ac:dyDescent="0.2">
      <c r="A724" t="s">
        <v>189</v>
      </c>
      <c r="B724" t="s">
        <v>190</v>
      </c>
      <c r="C724" t="s">
        <v>71</v>
      </c>
      <c r="D724" t="s">
        <v>65</v>
      </c>
      <c r="E724" t="s">
        <v>66</v>
      </c>
      <c r="F724">
        <v>1116</v>
      </c>
      <c r="G724">
        <v>4167951.1962848301</v>
      </c>
      <c r="H724">
        <v>3734.7232941620341</v>
      </c>
    </row>
    <row r="725" spans="1:8" x14ac:dyDescent="0.2">
      <c r="A725" t="s">
        <v>189</v>
      </c>
      <c r="B725" t="s">
        <v>190</v>
      </c>
      <c r="C725" t="s">
        <v>72</v>
      </c>
      <c r="D725" t="s">
        <v>65</v>
      </c>
      <c r="E725" t="s">
        <v>66</v>
      </c>
      <c r="F725">
        <v>981</v>
      </c>
      <c r="G725">
        <v>3533825.2851674641</v>
      </c>
      <c r="H725">
        <v>3602.2683844724411</v>
      </c>
    </row>
    <row r="726" spans="1:8" x14ac:dyDescent="0.2">
      <c r="A726" t="s">
        <v>189</v>
      </c>
      <c r="B726" t="s">
        <v>190</v>
      </c>
      <c r="C726" t="s">
        <v>73</v>
      </c>
      <c r="D726" t="s">
        <v>74</v>
      </c>
      <c r="E726" t="s">
        <v>75</v>
      </c>
      <c r="F726">
        <v>995</v>
      </c>
      <c r="G726">
        <v>3484261.3033257988</v>
      </c>
      <c r="H726">
        <v>3501.7701540962812</v>
      </c>
    </row>
    <row r="727" spans="1:8" x14ac:dyDescent="0.2">
      <c r="A727" t="s">
        <v>189</v>
      </c>
      <c r="B727" t="s">
        <v>190</v>
      </c>
      <c r="C727" t="s">
        <v>76</v>
      </c>
      <c r="D727" t="s">
        <v>74</v>
      </c>
      <c r="E727" t="s">
        <v>75</v>
      </c>
      <c r="F727">
        <v>977</v>
      </c>
      <c r="G727">
        <v>3148789.3157894742</v>
      </c>
      <c r="H727">
        <v>3222.9163928244361</v>
      </c>
    </row>
    <row r="728" spans="1:8" x14ac:dyDescent="0.2">
      <c r="A728" t="s">
        <v>189</v>
      </c>
      <c r="B728" t="s">
        <v>190</v>
      </c>
      <c r="C728" t="s">
        <v>77</v>
      </c>
      <c r="D728" t="s">
        <v>74</v>
      </c>
      <c r="E728" t="s">
        <v>75</v>
      </c>
      <c r="F728">
        <v>972</v>
      </c>
      <c r="G728">
        <v>3317622.6631578952</v>
      </c>
      <c r="H728">
        <v>3413.1920402859</v>
      </c>
    </row>
    <row r="729" spans="1:8" x14ac:dyDescent="0.2">
      <c r="A729" t="s">
        <v>189</v>
      </c>
      <c r="B729" t="s">
        <v>190</v>
      </c>
      <c r="C729" t="s">
        <v>78</v>
      </c>
      <c r="D729" t="s">
        <v>74</v>
      </c>
      <c r="E729" t="s">
        <v>75</v>
      </c>
      <c r="F729">
        <v>938</v>
      </c>
      <c r="G729">
        <v>3245756.9473684211</v>
      </c>
      <c r="H729">
        <v>3460.2952530580178</v>
      </c>
    </row>
    <row r="730" spans="1:8" x14ac:dyDescent="0.2">
      <c r="A730" t="s">
        <v>189</v>
      </c>
      <c r="B730" t="s">
        <v>190</v>
      </c>
      <c r="C730" t="s">
        <v>79</v>
      </c>
      <c r="D730" t="s">
        <v>74</v>
      </c>
      <c r="E730" t="s">
        <v>75</v>
      </c>
      <c r="F730">
        <v>1134</v>
      </c>
      <c r="G730">
        <v>4352281.0631578946</v>
      </c>
      <c r="H730">
        <v>3837.990355518426</v>
      </c>
    </row>
    <row r="731" spans="1:8" x14ac:dyDescent="0.2">
      <c r="A731" t="s">
        <v>189</v>
      </c>
      <c r="B731" t="s">
        <v>190</v>
      </c>
      <c r="C731" t="s">
        <v>80</v>
      </c>
      <c r="D731" t="s">
        <v>74</v>
      </c>
      <c r="E731" t="s">
        <v>75</v>
      </c>
      <c r="F731">
        <v>1207</v>
      </c>
      <c r="G731">
        <v>5428238.5894736843</v>
      </c>
      <c r="H731">
        <v>4497.2979200279078</v>
      </c>
    </row>
    <row r="732" spans="1:8" x14ac:dyDescent="0.2">
      <c r="A732" t="s">
        <v>189</v>
      </c>
      <c r="B732" t="s">
        <v>190</v>
      </c>
      <c r="C732" t="s">
        <v>81</v>
      </c>
      <c r="D732" t="s">
        <v>74</v>
      </c>
      <c r="E732" t="s">
        <v>75</v>
      </c>
      <c r="F732">
        <v>995</v>
      </c>
      <c r="G732">
        <v>3180273.652631579</v>
      </c>
      <c r="H732">
        <v>3196.254927267918</v>
      </c>
    </row>
    <row r="733" spans="1:8" x14ac:dyDescent="0.2">
      <c r="A733" t="s">
        <v>189</v>
      </c>
      <c r="B733" t="s">
        <v>190</v>
      </c>
      <c r="C733" t="s">
        <v>82</v>
      </c>
      <c r="D733" t="s">
        <v>83</v>
      </c>
      <c r="E733" t="s">
        <v>84</v>
      </c>
      <c r="F733">
        <v>1013</v>
      </c>
      <c r="G733">
        <v>4127193.6421052641</v>
      </c>
      <c r="H733">
        <v>4074.228669403024</v>
      </c>
    </row>
    <row r="734" spans="1:8" x14ac:dyDescent="0.2">
      <c r="A734" t="s">
        <v>189</v>
      </c>
      <c r="B734" t="s">
        <v>190</v>
      </c>
      <c r="C734" t="s">
        <v>85</v>
      </c>
      <c r="D734" t="s">
        <v>83</v>
      </c>
      <c r="E734" t="s">
        <v>84</v>
      </c>
      <c r="F734">
        <v>972</v>
      </c>
      <c r="G734">
        <v>4044188.9157894738</v>
      </c>
      <c r="H734">
        <v>4160.6881849685942</v>
      </c>
    </row>
    <row r="735" spans="1:8" x14ac:dyDescent="0.2">
      <c r="A735" t="s">
        <v>189</v>
      </c>
      <c r="B735" t="s">
        <v>190</v>
      </c>
      <c r="C735" t="s">
        <v>86</v>
      </c>
      <c r="D735" t="s">
        <v>83</v>
      </c>
      <c r="E735" t="s">
        <v>84</v>
      </c>
      <c r="F735">
        <v>938</v>
      </c>
      <c r="G735">
        <v>3780543.557894737</v>
      </c>
      <c r="H735">
        <v>4030.4302322971598</v>
      </c>
    </row>
    <row r="736" spans="1:8" x14ac:dyDescent="0.2">
      <c r="A736" t="s">
        <v>189</v>
      </c>
      <c r="B736" t="s">
        <v>190</v>
      </c>
      <c r="C736" t="s">
        <v>87</v>
      </c>
      <c r="D736" t="s">
        <v>83</v>
      </c>
      <c r="E736" t="s">
        <v>84</v>
      </c>
      <c r="F736">
        <v>842</v>
      </c>
      <c r="G736">
        <v>3418143.4526315788</v>
      </c>
      <c r="H736">
        <v>4059.552794099262</v>
      </c>
    </row>
    <row r="737" spans="1:8" x14ac:dyDescent="0.2">
      <c r="A737" t="s">
        <v>189</v>
      </c>
      <c r="B737" t="s">
        <v>190</v>
      </c>
      <c r="C737" t="s">
        <v>88</v>
      </c>
      <c r="D737" t="s">
        <v>83</v>
      </c>
      <c r="E737" t="s">
        <v>84</v>
      </c>
      <c r="F737">
        <v>948</v>
      </c>
      <c r="G737">
        <v>4155122.0526315779</v>
      </c>
      <c r="H737">
        <v>4383.0401399067287</v>
      </c>
    </row>
    <row r="738" spans="1:8" x14ac:dyDescent="0.2">
      <c r="A738" t="s">
        <v>189</v>
      </c>
      <c r="B738" t="s">
        <v>190</v>
      </c>
      <c r="C738" t="s">
        <v>89</v>
      </c>
      <c r="D738" t="s">
        <v>83</v>
      </c>
      <c r="E738" t="s">
        <v>84</v>
      </c>
      <c r="F738">
        <v>1109</v>
      </c>
      <c r="G738">
        <v>4886889.1473684208</v>
      </c>
      <c r="H738">
        <v>4406.5727208011012</v>
      </c>
    </row>
    <row r="739" spans="1:8" x14ac:dyDescent="0.2">
      <c r="A739" t="s">
        <v>189</v>
      </c>
      <c r="B739" t="s">
        <v>190</v>
      </c>
      <c r="C739" t="s">
        <v>90</v>
      </c>
      <c r="D739" t="s">
        <v>83</v>
      </c>
      <c r="E739" t="s">
        <v>84</v>
      </c>
      <c r="F739">
        <v>991</v>
      </c>
      <c r="G739">
        <v>4459939.3157894742</v>
      </c>
      <c r="H739">
        <v>4500.4433055393283</v>
      </c>
    </row>
    <row r="740" spans="1:8" x14ac:dyDescent="0.2">
      <c r="A740" t="s">
        <v>189</v>
      </c>
      <c r="B740" t="s">
        <v>190</v>
      </c>
      <c r="C740" t="s">
        <v>91</v>
      </c>
      <c r="D740" t="s">
        <v>92</v>
      </c>
      <c r="E740" t="s">
        <v>93</v>
      </c>
      <c r="F740">
        <v>1072</v>
      </c>
      <c r="G740">
        <v>4959240.9684210531</v>
      </c>
      <c r="H740">
        <v>4626.1576197957584</v>
      </c>
    </row>
    <row r="741" spans="1:8" x14ac:dyDescent="0.2">
      <c r="A741" t="s">
        <v>189</v>
      </c>
      <c r="B741" t="s">
        <v>190</v>
      </c>
      <c r="C741" t="s">
        <v>94</v>
      </c>
      <c r="D741" t="s">
        <v>92</v>
      </c>
      <c r="E741" t="s">
        <v>93</v>
      </c>
      <c r="F741">
        <v>1076</v>
      </c>
      <c r="G741">
        <v>5279345.8235717509</v>
      </c>
      <c r="H741">
        <v>4906.4552263677979</v>
      </c>
    </row>
    <row r="742" spans="1:8" x14ac:dyDescent="0.2">
      <c r="A742" t="s">
        <v>189</v>
      </c>
      <c r="B742" t="s">
        <v>190</v>
      </c>
      <c r="C742" t="s">
        <v>95</v>
      </c>
      <c r="D742" t="s">
        <v>92</v>
      </c>
      <c r="E742" t="s">
        <v>93</v>
      </c>
      <c r="F742">
        <v>976</v>
      </c>
      <c r="G742">
        <v>4134940.725739005</v>
      </c>
      <c r="H742">
        <v>4236.6195960440627</v>
      </c>
    </row>
    <row r="743" spans="1:8" x14ac:dyDescent="0.2">
      <c r="A743" t="s">
        <v>189</v>
      </c>
      <c r="B743" t="s">
        <v>190</v>
      </c>
      <c r="C743" t="s">
        <v>96</v>
      </c>
      <c r="D743" t="s">
        <v>92</v>
      </c>
      <c r="E743" t="s">
        <v>93</v>
      </c>
      <c r="F743">
        <v>878</v>
      </c>
      <c r="G743">
        <v>3147175.094736842</v>
      </c>
      <c r="H743">
        <v>3584.4818846661069</v>
      </c>
    </row>
    <row r="744" spans="1:8" x14ac:dyDescent="0.2">
      <c r="A744" t="s">
        <v>189</v>
      </c>
      <c r="B744" t="s">
        <v>190</v>
      </c>
      <c r="C744" t="s">
        <v>97</v>
      </c>
      <c r="D744" t="s">
        <v>92</v>
      </c>
      <c r="E744" t="s">
        <v>93</v>
      </c>
      <c r="F744">
        <v>920</v>
      </c>
      <c r="G744">
        <v>4130142.5684210528</v>
      </c>
      <c r="H744">
        <v>4489.2854004576657</v>
      </c>
    </row>
    <row r="745" spans="1:8" x14ac:dyDescent="0.2">
      <c r="A745" t="s">
        <v>189</v>
      </c>
      <c r="B745" t="s">
        <v>190</v>
      </c>
      <c r="C745" t="s">
        <v>98</v>
      </c>
      <c r="D745" t="s">
        <v>92</v>
      </c>
      <c r="E745" t="s">
        <v>93</v>
      </c>
      <c r="F745">
        <v>1100</v>
      </c>
      <c r="G745">
        <v>4671514.2526315805</v>
      </c>
      <c r="H745">
        <v>4246.8311387559816</v>
      </c>
    </row>
    <row r="746" spans="1:8" x14ac:dyDescent="0.2">
      <c r="A746" t="s">
        <v>189</v>
      </c>
      <c r="B746" t="s">
        <v>190</v>
      </c>
      <c r="C746" t="s">
        <v>99</v>
      </c>
      <c r="D746" t="s">
        <v>92</v>
      </c>
      <c r="E746" t="s">
        <v>93</v>
      </c>
      <c r="F746">
        <v>914</v>
      </c>
      <c r="G746">
        <v>3585895.0842105262</v>
      </c>
      <c r="H746">
        <v>3923.29877922377</v>
      </c>
    </row>
    <row r="747" spans="1:8" x14ac:dyDescent="0.2">
      <c r="A747" t="s">
        <v>189</v>
      </c>
      <c r="B747" t="s">
        <v>190</v>
      </c>
      <c r="C747" t="s">
        <v>100</v>
      </c>
      <c r="D747" t="s">
        <v>101</v>
      </c>
      <c r="E747" t="s">
        <v>102</v>
      </c>
      <c r="F747">
        <v>970</v>
      </c>
      <c r="G747">
        <v>4006859.347368421</v>
      </c>
      <c r="H747">
        <v>4130.7828323385784</v>
      </c>
    </row>
    <row r="748" spans="1:8" x14ac:dyDescent="0.2">
      <c r="A748" t="s">
        <v>189</v>
      </c>
      <c r="B748" t="s">
        <v>190</v>
      </c>
      <c r="C748" t="s">
        <v>103</v>
      </c>
      <c r="D748" t="s">
        <v>101</v>
      </c>
      <c r="E748" t="s">
        <v>102</v>
      </c>
      <c r="F748">
        <v>979</v>
      </c>
      <c r="G748">
        <v>4385935.6394447666</v>
      </c>
      <c r="H748">
        <v>4480.0159749180457</v>
      </c>
    </row>
    <row r="749" spans="1:8" x14ac:dyDescent="0.2">
      <c r="A749" t="s">
        <v>189</v>
      </c>
      <c r="B749" t="s">
        <v>190</v>
      </c>
      <c r="C749" t="s">
        <v>104</v>
      </c>
      <c r="D749" t="s">
        <v>101</v>
      </c>
      <c r="E749" t="s">
        <v>102</v>
      </c>
      <c r="F749">
        <v>999</v>
      </c>
      <c r="G749">
        <v>4838275.2736842111</v>
      </c>
      <c r="H749">
        <v>4843.1183920762869</v>
      </c>
    </row>
    <row r="750" spans="1:8" x14ac:dyDescent="0.2">
      <c r="A750" t="s">
        <v>189</v>
      </c>
      <c r="B750" t="s">
        <v>190</v>
      </c>
      <c r="C750" t="s">
        <v>105</v>
      </c>
      <c r="D750" t="s">
        <v>101</v>
      </c>
      <c r="E750" t="s">
        <v>102</v>
      </c>
      <c r="F750">
        <v>968</v>
      </c>
      <c r="G750">
        <v>4565650.2682492584</v>
      </c>
      <c r="H750">
        <v>4716.5808556293996</v>
      </c>
    </row>
    <row r="751" spans="1:8" x14ac:dyDescent="0.2">
      <c r="A751" t="s">
        <v>189</v>
      </c>
      <c r="B751" t="s">
        <v>190</v>
      </c>
      <c r="C751" t="s">
        <v>106</v>
      </c>
      <c r="D751" t="s">
        <v>101</v>
      </c>
      <c r="E751" t="s">
        <v>102</v>
      </c>
      <c r="F751">
        <v>1077</v>
      </c>
      <c r="G751">
        <v>5580071.3067191793</v>
      </c>
      <c r="H751">
        <v>5181.1247044746324</v>
      </c>
    </row>
    <row r="752" spans="1:8" x14ac:dyDescent="0.2">
      <c r="A752" t="s">
        <v>189</v>
      </c>
      <c r="B752" t="s">
        <v>190</v>
      </c>
      <c r="C752" t="s">
        <v>107</v>
      </c>
      <c r="D752" t="s">
        <v>101</v>
      </c>
      <c r="E752" t="s">
        <v>102</v>
      </c>
      <c r="F752">
        <v>1249</v>
      </c>
      <c r="G752">
        <v>6295764.1658444032</v>
      </c>
      <c r="H752">
        <v>5040.6438477537258</v>
      </c>
    </row>
    <row r="753" spans="1:8" x14ac:dyDescent="0.2">
      <c r="A753" t="s">
        <v>189</v>
      </c>
      <c r="B753" t="s">
        <v>190</v>
      </c>
      <c r="C753" t="s">
        <v>108</v>
      </c>
      <c r="D753" t="s">
        <v>101</v>
      </c>
      <c r="E753" t="s">
        <v>102</v>
      </c>
      <c r="F753">
        <v>1016</v>
      </c>
      <c r="G753">
        <v>4360010.7894736854</v>
      </c>
      <c r="H753">
        <v>4291.3492022378787</v>
      </c>
    </row>
    <row r="754" spans="1:8" x14ac:dyDescent="0.2">
      <c r="A754" t="s">
        <v>189</v>
      </c>
      <c r="B754" t="s">
        <v>190</v>
      </c>
      <c r="C754" t="s">
        <v>109</v>
      </c>
      <c r="F754">
        <v>1051</v>
      </c>
      <c r="G754">
        <v>4623048.2052372312</v>
      </c>
      <c r="H754">
        <v>4398.7138013674894</v>
      </c>
    </row>
    <row r="755" spans="1:8" x14ac:dyDescent="0.2">
      <c r="A755" t="s">
        <v>189</v>
      </c>
      <c r="B755" t="s">
        <v>190</v>
      </c>
      <c r="C755" t="s">
        <v>110</v>
      </c>
      <c r="F755">
        <v>942</v>
      </c>
      <c r="G755">
        <v>4611852.0569035318</v>
      </c>
      <c r="H755">
        <v>4895.8089776045981</v>
      </c>
    </row>
    <row r="756" spans="1:8" x14ac:dyDescent="0.2">
      <c r="A756" t="s">
        <v>189</v>
      </c>
      <c r="B756" t="s">
        <v>190</v>
      </c>
      <c r="C756" t="s">
        <v>111</v>
      </c>
      <c r="F756">
        <v>987</v>
      </c>
      <c r="G756">
        <v>4738972.8332301341</v>
      </c>
      <c r="H756">
        <v>4801.3909151267826</v>
      </c>
    </row>
    <row r="757" spans="1:8" x14ac:dyDescent="0.2">
      <c r="A757" t="s">
        <v>189</v>
      </c>
      <c r="B757" t="s">
        <v>190</v>
      </c>
      <c r="C757" t="s">
        <v>112</v>
      </c>
      <c r="D757" t="s">
        <v>113</v>
      </c>
      <c r="E757" t="s">
        <v>114</v>
      </c>
      <c r="F757">
        <v>1902</v>
      </c>
      <c r="G757">
        <v>19567456.7368421</v>
      </c>
      <c r="H757">
        <v>10287.83214345011</v>
      </c>
    </row>
    <row r="758" spans="1:8" x14ac:dyDescent="0.2">
      <c r="A758" t="s">
        <v>189</v>
      </c>
      <c r="B758" t="s">
        <v>190</v>
      </c>
      <c r="C758" t="s">
        <v>115</v>
      </c>
      <c r="D758" t="s">
        <v>113</v>
      </c>
      <c r="E758" t="s">
        <v>114</v>
      </c>
      <c r="F758">
        <v>3417</v>
      </c>
      <c r="G758">
        <v>34864578.399999999</v>
      </c>
      <c r="H758">
        <v>10203.27140766754</v>
      </c>
    </row>
    <row r="759" spans="1:8" x14ac:dyDescent="0.2">
      <c r="A759" t="s">
        <v>189</v>
      </c>
      <c r="B759" t="s">
        <v>190</v>
      </c>
      <c r="C759" t="s">
        <v>116</v>
      </c>
      <c r="D759" t="s">
        <v>113</v>
      </c>
      <c r="E759" t="s">
        <v>114</v>
      </c>
      <c r="F759">
        <v>3837</v>
      </c>
      <c r="G759">
        <v>40062779.747368433</v>
      </c>
      <c r="H759">
        <v>10441.17272540225</v>
      </c>
    </row>
    <row r="760" spans="1:8" x14ac:dyDescent="0.2">
      <c r="A760" t="s">
        <v>189</v>
      </c>
      <c r="B760" t="s">
        <v>190</v>
      </c>
      <c r="C760" t="s">
        <v>117</v>
      </c>
      <c r="D760" t="s">
        <v>113</v>
      </c>
      <c r="E760" t="s">
        <v>114</v>
      </c>
      <c r="F760">
        <v>3426</v>
      </c>
      <c r="G760">
        <v>31300321.284210529</v>
      </c>
      <c r="H760">
        <v>9136.1124589055817</v>
      </c>
    </row>
    <row r="761" spans="1:8" x14ac:dyDescent="0.2">
      <c r="A761" t="s">
        <v>189</v>
      </c>
      <c r="B761" t="s">
        <v>190</v>
      </c>
      <c r="C761" t="s">
        <v>118</v>
      </c>
      <c r="D761" t="s">
        <v>113</v>
      </c>
      <c r="E761" t="s">
        <v>114</v>
      </c>
      <c r="F761">
        <v>4000</v>
      </c>
      <c r="G761">
        <v>32264947.567786612</v>
      </c>
      <c r="H761">
        <v>8066.2368919466526</v>
      </c>
    </row>
    <row r="762" spans="1:8" x14ac:dyDescent="0.2">
      <c r="A762" t="s">
        <v>189</v>
      </c>
      <c r="B762" t="s">
        <v>190</v>
      </c>
      <c r="C762" t="s">
        <v>119</v>
      </c>
      <c r="D762" t="s">
        <v>113</v>
      </c>
      <c r="E762" t="s">
        <v>114</v>
      </c>
      <c r="F762">
        <v>4164</v>
      </c>
      <c r="G762">
        <v>32164060.694736838</v>
      </c>
      <c r="H762">
        <v>7724.3181303402598</v>
      </c>
    </row>
    <row r="763" spans="1:8" x14ac:dyDescent="0.2">
      <c r="A763" t="s">
        <v>189</v>
      </c>
      <c r="B763" t="s">
        <v>190</v>
      </c>
      <c r="C763" t="s">
        <v>120</v>
      </c>
      <c r="D763" t="s">
        <v>113</v>
      </c>
      <c r="E763" t="s">
        <v>114</v>
      </c>
      <c r="F763">
        <v>3992</v>
      </c>
      <c r="G763">
        <v>38558451.863157898</v>
      </c>
      <c r="H763">
        <v>9658.9308274443629</v>
      </c>
    </row>
    <row r="764" spans="1:8" x14ac:dyDescent="0.2">
      <c r="A764" t="s">
        <v>189</v>
      </c>
      <c r="B764" t="s">
        <v>190</v>
      </c>
      <c r="C764" t="s">
        <v>121</v>
      </c>
      <c r="D764" t="s">
        <v>113</v>
      </c>
      <c r="E764" t="s">
        <v>114</v>
      </c>
      <c r="F764">
        <v>3796</v>
      </c>
      <c r="G764">
        <v>44977061.157894738</v>
      </c>
      <c r="H764">
        <v>11848.54087405025</v>
      </c>
    </row>
    <row r="765" spans="1:8" x14ac:dyDescent="0.2">
      <c r="A765" t="s">
        <v>189</v>
      </c>
      <c r="B765" t="s">
        <v>190</v>
      </c>
      <c r="C765" t="s">
        <v>122</v>
      </c>
      <c r="D765" t="s">
        <v>113</v>
      </c>
      <c r="E765" t="s">
        <v>114</v>
      </c>
      <c r="F765">
        <v>4421</v>
      </c>
      <c r="G765">
        <v>51482404.189473681</v>
      </c>
      <c r="H765">
        <v>11644.96814962083</v>
      </c>
    </row>
    <row r="766" spans="1:8" x14ac:dyDescent="0.2">
      <c r="A766" t="s">
        <v>189</v>
      </c>
      <c r="B766" t="s">
        <v>190</v>
      </c>
      <c r="C766" t="s">
        <v>123</v>
      </c>
      <c r="D766" t="s">
        <v>113</v>
      </c>
      <c r="E766" t="s">
        <v>114</v>
      </c>
      <c r="F766">
        <v>7671</v>
      </c>
      <c r="G766">
        <v>77491307</v>
      </c>
      <c r="H766">
        <v>10101.85204015122</v>
      </c>
    </row>
    <row r="767" spans="1:8" x14ac:dyDescent="0.2">
      <c r="A767" t="s">
        <v>189</v>
      </c>
      <c r="B767" t="s">
        <v>190</v>
      </c>
      <c r="C767" t="s">
        <v>124</v>
      </c>
      <c r="D767" t="s">
        <v>113</v>
      </c>
      <c r="E767" t="s">
        <v>114</v>
      </c>
      <c r="F767">
        <v>2906</v>
      </c>
      <c r="G767">
        <v>19892514.141370948</v>
      </c>
      <c r="H767">
        <v>6845.3248937959224</v>
      </c>
    </row>
    <row r="768" spans="1:8" x14ac:dyDescent="0.2">
      <c r="A768" t="s">
        <v>189</v>
      </c>
      <c r="B768" t="s">
        <v>190</v>
      </c>
      <c r="C768" t="s">
        <v>125</v>
      </c>
      <c r="D768" t="s">
        <v>126</v>
      </c>
      <c r="E768" t="s">
        <v>127</v>
      </c>
      <c r="F768">
        <v>1035</v>
      </c>
      <c r="G768">
        <v>3781657.9894736842</v>
      </c>
      <c r="H768">
        <v>3653.7758352402748</v>
      </c>
    </row>
    <row r="769" spans="1:8" x14ac:dyDescent="0.2">
      <c r="A769" t="s">
        <v>189</v>
      </c>
      <c r="B769" t="s">
        <v>190</v>
      </c>
      <c r="C769" t="s">
        <v>128</v>
      </c>
      <c r="D769" t="s">
        <v>126</v>
      </c>
      <c r="E769" t="s">
        <v>127</v>
      </c>
      <c r="F769">
        <v>972</v>
      </c>
      <c r="G769">
        <v>3622070.3157894742</v>
      </c>
      <c r="H769">
        <v>3726.409789906867</v>
      </c>
    </row>
    <row r="770" spans="1:8" x14ac:dyDescent="0.2">
      <c r="A770" t="s">
        <v>189</v>
      </c>
      <c r="B770" t="s">
        <v>190</v>
      </c>
      <c r="C770" t="s">
        <v>129</v>
      </c>
      <c r="D770" t="s">
        <v>126</v>
      </c>
      <c r="E770" t="s">
        <v>127</v>
      </c>
      <c r="F770">
        <v>965</v>
      </c>
      <c r="G770">
        <v>3642724.094736842</v>
      </c>
      <c r="H770">
        <v>3774.8436214889562</v>
      </c>
    </row>
    <row r="771" spans="1:8" x14ac:dyDescent="0.2">
      <c r="A771" t="s">
        <v>189</v>
      </c>
      <c r="B771" t="s">
        <v>190</v>
      </c>
      <c r="C771" t="s">
        <v>130</v>
      </c>
      <c r="D771" t="s">
        <v>126</v>
      </c>
      <c r="E771" t="s">
        <v>127</v>
      </c>
      <c r="F771">
        <v>972</v>
      </c>
      <c r="G771">
        <v>3716815.0105263158</v>
      </c>
      <c r="H771">
        <v>3823.8837556855101</v>
      </c>
    </row>
    <row r="772" spans="1:8" x14ac:dyDescent="0.2">
      <c r="A772" t="s">
        <v>189</v>
      </c>
      <c r="B772" t="s">
        <v>190</v>
      </c>
      <c r="C772" t="s">
        <v>131</v>
      </c>
      <c r="D772" t="s">
        <v>126</v>
      </c>
      <c r="E772" t="s">
        <v>127</v>
      </c>
      <c r="F772">
        <v>1060</v>
      </c>
      <c r="G772">
        <v>4308376.0210526315</v>
      </c>
      <c r="H772">
        <v>4064.505680238331</v>
      </c>
    </row>
    <row r="773" spans="1:8" x14ac:dyDescent="0.2">
      <c r="A773" t="s">
        <v>189</v>
      </c>
      <c r="B773" t="s">
        <v>190</v>
      </c>
      <c r="C773" t="s">
        <v>132</v>
      </c>
      <c r="D773" t="s">
        <v>126</v>
      </c>
      <c r="E773" t="s">
        <v>127</v>
      </c>
      <c r="F773">
        <v>1176</v>
      </c>
      <c r="G773">
        <v>4901084.0526315793</v>
      </c>
      <c r="H773">
        <v>4167.5884801288939</v>
      </c>
    </row>
    <row r="774" spans="1:8" x14ac:dyDescent="0.2">
      <c r="A774" t="s">
        <v>189</v>
      </c>
      <c r="B774" t="s">
        <v>190</v>
      </c>
      <c r="C774" t="s">
        <v>133</v>
      </c>
      <c r="D774" t="s">
        <v>126</v>
      </c>
      <c r="E774" t="s">
        <v>127</v>
      </c>
      <c r="F774">
        <v>940</v>
      </c>
      <c r="G774">
        <v>3156092.026750044</v>
      </c>
      <c r="H774">
        <v>3357.5447093085568</v>
      </c>
    </row>
    <row r="775" spans="1:8" x14ac:dyDescent="0.2">
      <c r="A775" t="s">
        <v>189</v>
      </c>
      <c r="B775" t="s">
        <v>190</v>
      </c>
      <c r="C775" t="s">
        <v>134</v>
      </c>
      <c r="D775" t="s">
        <v>135</v>
      </c>
      <c r="E775" t="s">
        <v>136</v>
      </c>
      <c r="F775">
        <v>1021</v>
      </c>
      <c r="G775">
        <v>3461690.1263157888</v>
      </c>
      <c r="H775">
        <v>3390.4898396824578</v>
      </c>
    </row>
    <row r="776" spans="1:8" x14ac:dyDescent="0.2">
      <c r="A776" t="s">
        <v>189</v>
      </c>
      <c r="B776" t="s">
        <v>190</v>
      </c>
      <c r="C776" t="s">
        <v>137</v>
      </c>
      <c r="D776" t="s">
        <v>135</v>
      </c>
      <c r="E776" t="s">
        <v>136</v>
      </c>
      <c r="F776">
        <v>1005</v>
      </c>
      <c r="G776">
        <v>3012771.326315789</v>
      </c>
      <c r="H776">
        <v>2997.782414244567</v>
      </c>
    </row>
    <row r="777" spans="1:8" x14ac:dyDescent="0.2">
      <c r="A777" t="s">
        <v>189</v>
      </c>
      <c r="B777" t="s">
        <v>190</v>
      </c>
      <c r="C777" t="s">
        <v>138</v>
      </c>
      <c r="D777" t="s">
        <v>135</v>
      </c>
      <c r="E777" t="s">
        <v>136</v>
      </c>
      <c r="F777">
        <v>893</v>
      </c>
      <c r="G777">
        <v>2742361.846093494</v>
      </c>
      <c r="H777">
        <v>3070.9539149983138</v>
      </c>
    </row>
    <row r="778" spans="1:8" x14ac:dyDescent="0.2">
      <c r="A778" t="s">
        <v>189</v>
      </c>
      <c r="B778" t="s">
        <v>190</v>
      </c>
      <c r="C778" t="s">
        <v>139</v>
      </c>
      <c r="D778" t="s">
        <v>135</v>
      </c>
      <c r="E778" t="s">
        <v>136</v>
      </c>
      <c r="F778">
        <v>868</v>
      </c>
      <c r="G778">
        <v>2679067.3260206589</v>
      </c>
      <c r="H778">
        <v>3086.4830944938471</v>
      </c>
    </row>
    <row r="779" spans="1:8" x14ac:dyDescent="0.2">
      <c r="A779" t="s">
        <v>189</v>
      </c>
      <c r="B779" t="s">
        <v>190</v>
      </c>
      <c r="C779" t="s">
        <v>140</v>
      </c>
      <c r="D779" t="s">
        <v>135</v>
      </c>
      <c r="E779" t="s">
        <v>136</v>
      </c>
      <c r="F779">
        <v>940</v>
      </c>
      <c r="G779">
        <v>3359796.6</v>
      </c>
      <c r="H779">
        <v>3574.2517021276599</v>
      </c>
    </row>
    <row r="780" spans="1:8" x14ac:dyDescent="0.2">
      <c r="A780" t="s">
        <v>189</v>
      </c>
      <c r="B780" t="s">
        <v>190</v>
      </c>
      <c r="C780" t="s">
        <v>141</v>
      </c>
      <c r="D780" t="s">
        <v>135</v>
      </c>
      <c r="E780" t="s">
        <v>136</v>
      </c>
      <c r="F780">
        <v>1087</v>
      </c>
      <c r="G780">
        <v>4025884.9668456861</v>
      </c>
      <c r="H780">
        <v>3703.6660228571159</v>
      </c>
    </row>
    <row r="781" spans="1:8" x14ac:dyDescent="0.2">
      <c r="A781" t="s">
        <v>189</v>
      </c>
      <c r="B781" t="s">
        <v>190</v>
      </c>
      <c r="C781" t="s">
        <v>142</v>
      </c>
      <c r="D781" t="s">
        <v>135</v>
      </c>
      <c r="E781" t="s">
        <v>136</v>
      </c>
      <c r="F781">
        <v>1064</v>
      </c>
      <c r="G781">
        <v>3176270.218435592</v>
      </c>
      <c r="H781">
        <v>2985.2163707101431</v>
      </c>
    </row>
    <row r="782" spans="1:8" x14ac:dyDescent="0.2">
      <c r="A782" t="s">
        <v>189</v>
      </c>
      <c r="B782" t="s">
        <v>190</v>
      </c>
      <c r="C782" t="s">
        <v>143</v>
      </c>
      <c r="D782" t="s">
        <v>144</v>
      </c>
      <c r="E782" t="s">
        <v>145</v>
      </c>
      <c r="F782">
        <v>1048</v>
      </c>
      <c r="G782">
        <v>3042022.9190700329</v>
      </c>
      <c r="H782">
        <v>2902.693625066825</v>
      </c>
    </row>
    <row r="783" spans="1:8" x14ac:dyDescent="0.2">
      <c r="A783" t="s">
        <v>189</v>
      </c>
      <c r="B783" t="s">
        <v>190</v>
      </c>
      <c r="C783" t="s">
        <v>146</v>
      </c>
      <c r="D783" t="s">
        <v>144</v>
      </c>
      <c r="E783" t="s">
        <v>145</v>
      </c>
      <c r="F783">
        <v>1033</v>
      </c>
      <c r="G783">
        <v>3360098.889615932</v>
      </c>
      <c r="H783">
        <v>3252.7578795894792</v>
      </c>
    </row>
    <row r="784" spans="1:8" x14ac:dyDescent="0.2">
      <c r="A784" t="s">
        <v>189</v>
      </c>
      <c r="B784" t="s">
        <v>190</v>
      </c>
      <c r="C784" t="s">
        <v>147</v>
      </c>
      <c r="D784" t="s">
        <v>144</v>
      </c>
      <c r="E784" t="s">
        <v>145</v>
      </c>
      <c r="F784">
        <v>953</v>
      </c>
      <c r="G784">
        <v>3269009.768615535</v>
      </c>
      <c r="H784">
        <v>3430.2306071516632</v>
      </c>
    </row>
    <row r="785" spans="1:8" x14ac:dyDescent="0.2">
      <c r="A785" t="s">
        <v>189</v>
      </c>
      <c r="B785" t="s">
        <v>190</v>
      </c>
      <c r="C785" t="s">
        <v>148</v>
      </c>
      <c r="D785" t="s">
        <v>144</v>
      </c>
      <c r="E785" t="s">
        <v>145</v>
      </c>
      <c r="F785">
        <v>948</v>
      </c>
      <c r="G785">
        <v>3312231.182073513</v>
      </c>
      <c r="H785">
        <v>3493.9147490226928</v>
      </c>
    </row>
    <row r="786" spans="1:8" x14ac:dyDescent="0.2">
      <c r="A786" t="s">
        <v>189</v>
      </c>
      <c r="B786" t="s">
        <v>190</v>
      </c>
      <c r="C786" t="s">
        <v>149</v>
      </c>
      <c r="D786" t="s">
        <v>144</v>
      </c>
      <c r="E786" t="s">
        <v>145</v>
      </c>
      <c r="F786">
        <v>998</v>
      </c>
      <c r="G786">
        <v>3627424.3154075672</v>
      </c>
      <c r="H786">
        <v>3634.6937028131929</v>
      </c>
    </row>
    <row r="787" spans="1:8" x14ac:dyDescent="0.2">
      <c r="A787" t="s">
        <v>189</v>
      </c>
      <c r="B787" t="s">
        <v>190</v>
      </c>
      <c r="C787" t="s">
        <v>150</v>
      </c>
      <c r="D787" t="s">
        <v>144</v>
      </c>
      <c r="E787" t="s">
        <v>145</v>
      </c>
      <c r="F787">
        <v>1096</v>
      </c>
      <c r="G787">
        <v>3941253.563191561</v>
      </c>
      <c r="H787">
        <v>3596.0342729850008</v>
      </c>
    </row>
    <row r="788" spans="1:8" x14ac:dyDescent="0.2">
      <c r="A788" t="s">
        <v>189</v>
      </c>
      <c r="B788" t="s">
        <v>190</v>
      </c>
      <c r="C788" t="s">
        <v>151</v>
      </c>
      <c r="D788" t="s">
        <v>144</v>
      </c>
      <c r="E788" t="s">
        <v>145</v>
      </c>
      <c r="F788">
        <v>1117</v>
      </c>
      <c r="G788">
        <v>3882635.5958518172</v>
      </c>
      <c r="H788">
        <v>3475.9495038959872</v>
      </c>
    </row>
    <row r="789" spans="1:8" x14ac:dyDescent="0.2">
      <c r="A789" t="s">
        <v>189</v>
      </c>
      <c r="B789" t="s">
        <v>190</v>
      </c>
      <c r="C789" t="s">
        <v>152</v>
      </c>
      <c r="D789" t="s">
        <v>153</v>
      </c>
      <c r="E789" t="s">
        <v>154</v>
      </c>
      <c r="F789">
        <v>991</v>
      </c>
      <c r="G789">
        <v>3293200.594736842</v>
      </c>
      <c r="H789">
        <v>3323.1085718837971</v>
      </c>
    </row>
    <row r="790" spans="1:8" x14ac:dyDescent="0.2">
      <c r="A790" t="s">
        <v>189</v>
      </c>
      <c r="B790" t="s">
        <v>190</v>
      </c>
      <c r="C790" t="s">
        <v>155</v>
      </c>
      <c r="D790" t="s">
        <v>153</v>
      </c>
      <c r="E790" t="s">
        <v>154</v>
      </c>
      <c r="F790">
        <v>1021</v>
      </c>
      <c r="G790">
        <v>3064395.1384051042</v>
      </c>
      <c r="H790">
        <v>3001.3664431000038</v>
      </c>
    </row>
    <row r="791" spans="1:8" x14ac:dyDescent="0.2">
      <c r="A791" t="s">
        <v>189</v>
      </c>
      <c r="B791" t="s">
        <v>190</v>
      </c>
      <c r="C791" t="s">
        <v>156</v>
      </c>
      <c r="D791" t="s">
        <v>153</v>
      </c>
      <c r="E791" t="s">
        <v>154</v>
      </c>
      <c r="F791">
        <v>1037</v>
      </c>
      <c r="G791">
        <v>3154406.0084210518</v>
      </c>
      <c r="H791">
        <v>3041.857288737755</v>
      </c>
    </row>
    <row r="792" spans="1:8" x14ac:dyDescent="0.2">
      <c r="A792" t="s">
        <v>189</v>
      </c>
      <c r="B792" t="s">
        <v>190</v>
      </c>
      <c r="C792" t="s">
        <v>157</v>
      </c>
      <c r="D792" t="s">
        <v>153</v>
      </c>
      <c r="E792" t="s">
        <v>154</v>
      </c>
      <c r="F792">
        <v>999</v>
      </c>
      <c r="G792">
        <v>3375013.56</v>
      </c>
      <c r="H792">
        <v>3378.3919519519509</v>
      </c>
    </row>
    <row r="793" spans="1:8" x14ac:dyDescent="0.2">
      <c r="A793" t="s">
        <v>189</v>
      </c>
      <c r="B793" t="s">
        <v>190</v>
      </c>
      <c r="C793" t="s">
        <v>158</v>
      </c>
      <c r="D793" t="s">
        <v>153</v>
      </c>
      <c r="E793" t="s">
        <v>154</v>
      </c>
      <c r="F793">
        <v>956</v>
      </c>
      <c r="G793">
        <v>3664256.1499125371</v>
      </c>
      <c r="H793">
        <v>3832.9039225026531</v>
      </c>
    </row>
    <row r="794" spans="1:8" x14ac:dyDescent="0.2">
      <c r="A794" t="s">
        <v>189</v>
      </c>
      <c r="B794" t="s">
        <v>190</v>
      </c>
      <c r="C794" t="s">
        <v>159</v>
      </c>
      <c r="D794" t="s">
        <v>153</v>
      </c>
      <c r="E794" t="s">
        <v>154</v>
      </c>
      <c r="F794">
        <v>1161</v>
      </c>
      <c r="G794">
        <v>4269045.2189473687</v>
      </c>
      <c r="H794">
        <v>3677.041532254409</v>
      </c>
    </row>
    <row r="795" spans="1:8" x14ac:dyDescent="0.2">
      <c r="A795" t="s">
        <v>189</v>
      </c>
      <c r="B795" t="s">
        <v>190</v>
      </c>
      <c r="C795" t="s">
        <v>160</v>
      </c>
      <c r="D795" t="s">
        <v>153</v>
      </c>
      <c r="E795" t="s">
        <v>154</v>
      </c>
      <c r="F795">
        <v>1030</v>
      </c>
      <c r="G795">
        <v>3414475.143504716</v>
      </c>
      <c r="H795">
        <v>3315.024411169627</v>
      </c>
    </row>
    <row r="796" spans="1:8" x14ac:dyDescent="0.2">
      <c r="A796" t="s">
        <v>189</v>
      </c>
      <c r="B796" t="s">
        <v>190</v>
      </c>
      <c r="C796" t="s">
        <v>161</v>
      </c>
      <c r="D796" t="s">
        <v>162</v>
      </c>
      <c r="E796" t="s">
        <v>163</v>
      </c>
      <c r="F796">
        <v>1079</v>
      </c>
      <c r="G796">
        <v>3895018.8238336579</v>
      </c>
      <c r="H796">
        <v>3609.8413566577001</v>
      </c>
    </row>
    <row r="797" spans="1:8" x14ac:dyDescent="0.2">
      <c r="A797" t="s">
        <v>189</v>
      </c>
      <c r="B797" t="s">
        <v>190</v>
      </c>
      <c r="C797" t="s">
        <v>164</v>
      </c>
      <c r="D797" t="s">
        <v>162</v>
      </c>
      <c r="E797" t="s">
        <v>163</v>
      </c>
      <c r="F797">
        <v>1076</v>
      </c>
      <c r="G797">
        <v>3571382.9637765731</v>
      </c>
      <c r="H797">
        <v>3319.129148491239</v>
      </c>
    </row>
    <row r="798" spans="1:8" x14ac:dyDescent="0.2">
      <c r="A798" t="s">
        <v>189</v>
      </c>
      <c r="B798" t="s">
        <v>190</v>
      </c>
      <c r="C798" t="s">
        <v>165</v>
      </c>
      <c r="D798" t="s">
        <v>162</v>
      </c>
      <c r="E798" t="s">
        <v>163</v>
      </c>
      <c r="F798">
        <v>1146</v>
      </c>
      <c r="G798">
        <v>3563443.185144552</v>
      </c>
      <c r="H798">
        <v>3109.4617671418432</v>
      </c>
    </row>
    <row r="799" spans="1:8" x14ac:dyDescent="0.2">
      <c r="A799" t="s">
        <v>189</v>
      </c>
      <c r="B799" t="s">
        <v>190</v>
      </c>
      <c r="C799" t="s">
        <v>166</v>
      </c>
      <c r="D799" t="s">
        <v>162</v>
      </c>
      <c r="E799" t="s">
        <v>163</v>
      </c>
      <c r="F799">
        <v>1107</v>
      </c>
      <c r="G799">
        <v>4036654.2289019972</v>
      </c>
      <c r="H799">
        <v>3646.4807849159861</v>
      </c>
    </row>
    <row r="800" spans="1:8" x14ac:dyDescent="0.2">
      <c r="A800" t="s">
        <v>189</v>
      </c>
      <c r="B800" t="s">
        <v>190</v>
      </c>
      <c r="C800" t="s">
        <v>167</v>
      </c>
      <c r="D800" t="s">
        <v>162</v>
      </c>
      <c r="E800" t="s">
        <v>163</v>
      </c>
      <c r="F800">
        <v>1090</v>
      </c>
      <c r="G800">
        <v>4230555.0693368223</v>
      </c>
      <c r="H800">
        <v>3881.243182877819</v>
      </c>
    </row>
    <row r="801" spans="1:8" x14ac:dyDescent="0.2">
      <c r="A801" t="s">
        <v>189</v>
      </c>
      <c r="B801" t="s">
        <v>190</v>
      </c>
      <c r="C801" t="s">
        <v>168</v>
      </c>
      <c r="D801" t="s">
        <v>162</v>
      </c>
      <c r="E801" t="s">
        <v>163</v>
      </c>
      <c r="F801">
        <v>1251</v>
      </c>
      <c r="G801">
        <v>4808471.1642958745</v>
      </c>
      <c r="H801">
        <v>3843.701969860811</v>
      </c>
    </row>
    <row r="802" spans="1:8" x14ac:dyDescent="0.2">
      <c r="A802" t="s">
        <v>189</v>
      </c>
      <c r="B802" t="s">
        <v>190</v>
      </c>
      <c r="C802" t="s">
        <v>169</v>
      </c>
      <c r="D802" t="s">
        <v>162</v>
      </c>
      <c r="E802" t="s">
        <v>163</v>
      </c>
      <c r="F802">
        <v>1245</v>
      </c>
      <c r="G802">
        <v>4600462.2255639099</v>
      </c>
      <c r="H802">
        <v>3695.1503819790441</v>
      </c>
    </row>
    <row r="803" spans="1:8" x14ac:dyDescent="0.2">
      <c r="A803" t="s">
        <v>189</v>
      </c>
      <c r="B803" t="s">
        <v>190</v>
      </c>
      <c r="C803" t="s">
        <v>170</v>
      </c>
      <c r="D803" t="s">
        <v>171</v>
      </c>
      <c r="E803" t="s">
        <v>172</v>
      </c>
      <c r="F803">
        <v>1241</v>
      </c>
      <c r="G803">
        <v>2396240</v>
      </c>
      <c r="H803">
        <v>1930.894439967768</v>
      </c>
    </row>
    <row r="804" spans="1:8" x14ac:dyDescent="0.2">
      <c r="A804" t="s">
        <v>189</v>
      </c>
      <c r="B804" t="s">
        <v>190</v>
      </c>
      <c r="C804" t="s">
        <v>173</v>
      </c>
      <c r="D804" t="s">
        <v>171</v>
      </c>
      <c r="E804" t="s">
        <v>172</v>
      </c>
      <c r="F804">
        <v>1071</v>
      </c>
      <c r="G804">
        <v>2215900</v>
      </c>
      <c r="H804">
        <v>2069.0009337068159</v>
      </c>
    </row>
    <row r="805" spans="1:8" x14ac:dyDescent="0.2">
      <c r="A805" t="s">
        <v>189</v>
      </c>
      <c r="B805" t="s">
        <v>190</v>
      </c>
      <c r="C805" t="s">
        <v>174</v>
      </c>
      <c r="D805" t="s">
        <v>171</v>
      </c>
      <c r="E805" t="s">
        <v>172</v>
      </c>
      <c r="F805">
        <v>1160</v>
      </c>
      <c r="G805">
        <v>2215900</v>
      </c>
      <c r="H805">
        <v>1910.2586206896549</v>
      </c>
    </row>
    <row r="806" spans="1:8" x14ac:dyDescent="0.2">
      <c r="A806" t="s">
        <v>189</v>
      </c>
      <c r="B806" t="s">
        <v>190</v>
      </c>
      <c r="C806" t="s">
        <v>175</v>
      </c>
      <c r="D806" t="s">
        <v>171</v>
      </c>
      <c r="E806" t="s">
        <v>172</v>
      </c>
      <c r="F806">
        <v>983</v>
      </c>
      <c r="G806">
        <v>2316790</v>
      </c>
      <c r="H806">
        <v>2356.8565615462871</v>
      </c>
    </row>
    <row r="807" spans="1:8" x14ac:dyDescent="0.2">
      <c r="A807" t="s">
        <v>189</v>
      </c>
      <c r="B807" t="s">
        <v>190</v>
      </c>
      <c r="C807" t="s">
        <v>176</v>
      </c>
      <c r="D807" t="s">
        <v>171</v>
      </c>
      <c r="E807" t="s">
        <v>172</v>
      </c>
      <c r="F807">
        <v>1080</v>
      </c>
      <c r="G807">
        <v>2818380</v>
      </c>
      <c r="H807">
        <v>2609.6111111111109</v>
      </c>
    </row>
    <row r="808" spans="1:8" x14ac:dyDescent="0.2">
      <c r="A808" t="s">
        <v>189</v>
      </c>
      <c r="B808" t="s">
        <v>190</v>
      </c>
      <c r="C808" t="s">
        <v>177</v>
      </c>
      <c r="D808" t="s">
        <v>171</v>
      </c>
      <c r="E808" t="s">
        <v>172</v>
      </c>
      <c r="F808">
        <v>1220</v>
      </c>
      <c r="G808">
        <v>2988890</v>
      </c>
      <c r="H808">
        <v>2449.9098360655739</v>
      </c>
    </row>
    <row r="809" spans="1:8" x14ac:dyDescent="0.2">
      <c r="A809" t="s">
        <v>189</v>
      </c>
      <c r="B809" t="s">
        <v>190</v>
      </c>
      <c r="C809" t="s">
        <v>178</v>
      </c>
      <c r="D809" t="s">
        <v>171</v>
      </c>
      <c r="E809" t="s">
        <v>172</v>
      </c>
      <c r="F809">
        <v>1282</v>
      </c>
      <c r="G809">
        <v>2219900</v>
      </c>
      <c r="H809">
        <v>1731.5912636505459</v>
      </c>
    </row>
    <row r="810" spans="1:8" x14ac:dyDescent="0.2">
      <c r="A810" t="s">
        <v>189</v>
      </c>
      <c r="B810" t="s">
        <v>190</v>
      </c>
      <c r="C810" t="s">
        <v>179</v>
      </c>
      <c r="D810" t="s">
        <v>180</v>
      </c>
      <c r="E810" t="s">
        <v>181</v>
      </c>
      <c r="F810">
        <v>1187</v>
      </c>
      <c r="G810">
        <v>2215900</v>
      </c>
      <c r="H810">
        <v>1866.807076663858</v>
      </c>
    </row>
    <row r="811" spans="1:8" x14ac:dyDescent="0.2">
      <c r="A811" t="s">
        <v>189</v>
      </c>
      <c r="B811" t="s">
        <v>190</v>
      </c>
      <c r="C811" t="s">
        <v>182</v>
      </c>
      <c r="D811" t="s">
        <v>180</v>
      </c>
      <c r="E811" t="s">
        <v>181</v>
      </c>
      <c r="F811">
        <v>4</v>
      </c>
      <c r="G811">
        <v>2215900</v>
      </c>
      <c r="H811">
        <v>553975</v>
      </c>
    </row>
  </sheetData>
  <autoFilter ref="A1:H811" xr:uid="{00000000-0001-0000-0000-000000000000}"/>
  <phoneticPr fontId="20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96FF-B048-4B9E-9A50-4D4F124B7CE7}">
  <dimension ref="A1:G336"/>
  <sheetViews>
    <sheetView topLeftCell="A313" workbookViewId="0">
      <selection activeCell="E333" sqref="E333"/>
    </sheetView>
  </sheetViews>
  <sheetFormatPr defaultRowHeight="13.2" x14ac:dyDescent="0.2"/>
  <cols>
    <col min="1" max="1" width="9" customWidth="1"/>
    <col min="2" max="2" width="12" customWidth="1"/>
    <col min="3" max="3" width="8" customWidth="1"/>
    <col min="4" max="4" width="11" customWidth="1"/>
    <col min="5" max="5" width="20" customWidth="1"/>
    <col min="6" max="6" width="7" customWidth="1"/>
    <col min="7" max="7" width="20" customWidth="1"/>
  </cols>
  <sheetData>
    <row r="1" spans="1:7" x14ac:dyDescent="0.2">
      <c r="A1" t="s">
        <v>1</v>
      </c>
      <c r="B1" t="s">
        <v>2</v>
      </c>
      <c r="C1" t="s">
        <v>3</v>
      </c>
      <c r="D1" t="s">
        <v>4</v>
      </c>
      <c r="E1" t="s">
        <v>6</v>
      </c>
      <c r="F1" t="s">
        <v>5</v>
      </c>
      <c r="G1" t="s">
        <v>7</v>
      </c>
    </row>
    <row r="2" spans="1:7" x14ac:dyDescent="0.2">
      <c r="A2" t="s">
        <v>9</v>
      </c>
      <c r="B2" s="91" t="s">
        <v>10</v>
      </c>
      <c r="C2" t="s">
        <v>11</v>
      </c>
      <c r="D2" t="s">
        <v>12</v>
      </c>
      <c r="E2" s="35">
        <v>5149890</v>
      </c>
      <c r="F2" s="1">
        <v>579</v>
      </c>
      <c r="G2">
        <f>E2/F2</f>
        <v>8894.4559585492225</v>
      </c>
    </row>
    <row r="3" spans="1:7" x14ac:dyDescent="0.2">
      <c r="A3" t="s">
        <v>9</v>
      </c>
      <c r="B3" s="91" t="s">
        <v>13</v>
      </c>
      <c r="C3" t="s">
        <v>11</v>
      </c>
      <c r="D3" t="s">
        <v>12</v>
      </c>
      <c r="E3" s="35">
        <v>5917890</v>
      </c>
      <c r="F3" s="1">
        <v>639</v>
      </c>
      <c r="G3">
        <f t="shared" ref="G3:G21" si="0">E3/F3</f>
        <v>9261.173708920187</v>
      </c>
    </row>
    <row r="4" spans="1:7" x14ac:dyDescent="0.2">
      <c r="A4" t="s">
        <v>9</v>
      </c>
      <c r="B4" s="91" t="s">
        <v>14</v>
      </c>
      <c r="C4" t="s">
        <v>11</v>
      </c>
      <c r="D4" t="s">
        <v>12</v>
      </c>
      <c r="E4" s="35">
        <v>5426790</v>
      </c>
      <c r="F4" s="1">
        <v>627</v>
      </c>
      <c r="G4">
        <f t="shared" si="0"/>
        <v>8655.1674641148329</v>
      </c>
    </row>
    <row r="5" spans="1:7" x14ac:dyDescent="0.2">
      <c r="A5" t="s">
        <v>9</v>
      </c>
      <c r="B5" s="91" t="s">
        <v>15</v>
      </c>
      <c r="C5" t="s">
        <v>11</v>
      </c>
      <c r="D5" t="s">
        <v>12</v>
      </c>
      <c r="E5" s="35">
        <v>7441290</v>
      </c>
      <c r="F5" s="1">
        <v>752</v>
      </c>
      <c r="G5">
        <f t="shared" si="0"/>
        <v>9895.3324468085102</v>
      </c>
    </row>
    <row r="6" spans="1:7" x14ac:dyDescent="0.2">
      <c r="A6" t="s">
        <v>9</v>
      </c>
      <c r="B6" s="91" t="s">
        <v>16</v>
      </c>
      <c r="C6" t="s">
        <v>11</v>
      </c>
      <c r="D6" t="s">
        <v>12</v>
      </c>
      <c r="E6" s="35">
        <v>8749790</v>
      </c>
      <c r="F6" s="1">
        <v>857</v>
      </c>
      <c r="G6">
        <f t="shared" si="0"/>
        <v>10209.789964994166</v>
      </c>
    </row>
    <row r="7" spans="1:7" x14ac:dyDescent="0.2">
      <c r="A7" t="s">
        <v>9</v>
      </c>
      <c r="B7" s="91" t="s">
        <v>17</v>
      </c>
      <c r="C7" t="s">
        <v>11</v>
      </c>
      <c r="D7" t="s">
        <v>12</v>
      </c>
      <c r="E7" s="35">
        <v>12007290</v>
      </c>
      <c r="F7" s="1">
        <v>1117</v>
      </c>
      <c r="G7">
        <f t="shared" si="0"/>
        <v>10749.588182632051</v>
      </c>
    </row>
    <row r="8" spans="1:7" x14ac:dyDescent="0.2">
      <c r="A8" t="s">
        <v>9</v>
      </c>
      <c r="B8" s="91" t="s">
        <v>18</v>
      </c>
      <c r="C8" t="s">
        <v>11</v>
      </c>
      <c r="D8" t="s">
        <v>12</v>
      </c>
      <c r="E8" s="35">
        <v>7438790</v>
      </c>
      <c r="F8" s="1">
        <v>752</v>
      </c>
      <c r="G8">
        <f t="shared" si="0"/>
        <v>9892.0079787234044</v>
      </c>
    </row>
    <row r="9" spans="1:7" x14ac:dyDescent="0.2">
      <c r="A9" t="s">
        <v>9</v>
      </c>
      <c r="B9" s="91" t="s">
        <v>19</v>
      </c>
      <c r="C9" t="s">
        <v>20</v>
      </c>
      <c r="D9" t="s">
        <v>21</v>
      </c>
      <c r="E9" s="35">
        <v>2778890</v>
      </c>
      <c r="F9" s="1">
        <v>546</v>
      </c>
      <c r="G9">
        <f t="shared" si="0"/>
        <v>5089.5421245421248</v>
      </c>
    </row>
    <row r="10" spans="1:7" x14ac:dyDescent="0.2">
      <c r="A10" t="s">
        <v>9</v>
      </c>
      <c r="B10" s="91" t="s">
        <v>22</v>
      </c>
      <c r="C10" t="s">
        <v>20</v>
      </c>
      <c r="D10" t="s">
        <v>21</v>
      </c>
      <c r="E10" s="35">
        <v>2852190</v>
      </c>
      <c r="F10" s="1">
        <v>556</v>
      </c>
      <c r="G10">
        <f t="shared" si="0"/>
        <v>5129.8381294964029</v>
      </c>
    </row>
    <row r="11" spans="1:7" x14ac:dyDescent="0.2">
      <c r="A11" t="s">
        <v>9</v>
      </c>
      <c r="B11" s="91" t="s">
        <v>23</v>
      </c>
      <c r="C11" t="s">
        <v>20</v>
      </c>
      <c r="D11" t="s">
        <v>21</v>
      </c>
      <c r="E11" s="35">
        <v>2877240</v>
      </c>
      <c r="F11" s="1">
        <v>566</v>
      </c>
      <c r="G11">
        <f t="shared" si="0"/>
        <v>5083.4628975265014</v>
      </c>
    </row>
    <row r="12" spans="1:7" x14ac:dyDescent="0.2">
      <c r="A12" t="s">
        <v>9</v>
      </c>
      <c r="B12" s="91" t="s">
        <v>24</v>
      </c>
      <c r="C12" t="s">
        <v>20</v>
      </c>
      <c r="D12" t="s">
        <v>21</v>
      </c>
      <c r="E12" s="35">
        <v>2895900</v>
      </c>
      <c r="F12" s="1">
        <v>575</v>
      </c>
      <c r="G12">
        <f t="shared" si="0"/>
        <v>5036.347826086957</v>
      </c>
    </row>
    <row r="13" spans="1:7" x14ac:dyDescent="0.2">
      <c r="A13" t="s">
        <v>9</v>
      </c>
      <c r="B13" s="91" t="s">
        <v>25</v>
      </c>
      <c r="C13" t="s">
        <v>20</v>
      </c>
      <c r="D13" t="s">
        <v>21</v>
      </c>
      <c r="E13" s="35">
        <v>4353280</v>
      </c>
      <c r="F13" s="1">
        <v>727</v>
      </c>
      <c r="G13">
        <f t="shared" si="0"/>
        <v>5988.0055020632735</v>
      </c>
    </row>
    <row r="14" spans="1:7" x14ac:dyDescent="0.2">
      <c r="A14" t="s">
        <v>9</v>
      </c>
      <c r="B14" s="91" t="s">
        <v>26</v>
      </c>
      <c r="C14" t="s">
        <v>20</v>
      </c>
      <c r="D14" t="s">
        <v>21</v>
      </c>
      <c r="E14" s="35">
        <v>4618730</v>
      </c>
      <c r="F14" s="1">
        <v>767</v>
      </c>
      <c r="G14">
        <f t="shared" si="0"/>
        <v>6021.8122555410691</v>
      </c>
    </row>
    <row r="15" spans="1:7" x14ac:dyDescent="0.2">
      <c r="A15" t="s">
        <v>9</v>
      </c>
      <c r="B15" s="91" t="s">
        <v>27</v>
      </c>
      <c r="C15" t="s">
        <v>20</v>
      </c>
      <c r="D15" t="s">
        <v>21</v>
      </c>
      <c r="E15" s="35">
        <v>2852190</v>
      </c>
      <c r="F15" s="1">
        <v>556</v>
      </c>
      <c r="G15">
        <f t="shared" si="0"/>
        <v>5129.8381294964029</v>
      </c>
    </row>
    <row r="16" spans="1:7" x14ac:dyDescent="0.2">
      <c r="A16" t="s">
        <v>9</v>
      </c>
      <c r="B16" s="91" t="s">
        <v>28</v>
      </c>
      <c r="C16" t="s">
        <v>29</v>
      </c>
      <c r="D16" t="s">
        <v>30</v>
      </c>
      <c r="E16" s="35">
        <v>2852190</v>
      </c>
      <c r="F16" s="1">
        <v>556</v>
      </c>
      <c r="G16">
        <f t="shared" si="0"/>
        <v>5129.8381294964029</v>
      </c>
    </row>
    <row r="17" spans="1:7" x14ac:dyDescent="0.2">
      <c r="A17" t="s">
        <v>9</v>
      </c>
      <c r="B17" s="91" t="s">
        <v>31</v>
      </c>
      <c r="C17" t="s">
        <v>29</v>
      </c>
      <c r="D17" t="s">
        <v>30</v>
      </c>
      <c r="E17" s="35">
        <v>2852190</v>
      </c>
      <c r="F17" s="1">
        <v>556</v>
      </c>
      <c r="G17">
        <f t="shared" si="0"/>
        <v>5129.8381294964029</v>
      </c>
    </row>
    <row r="18" spans="1:7" x14ac:dyDescent="0.2">
      <c r="A18" t="s">
        <v>9</v>
      </c>
      <c r="B18" s="91" t="s">
        <v>32</v>
      </c>
      <c r="C18" t="s">
        <v>29</v>
      </c>
      <c r="D18" t="s">
        <v>30</v>
      </c>
      <c r="E18" s="35">
        <v>2877240</v>
      </c>
      <c r="F18" s="1">
        <v>566</v>
      </c>
      <c r="G18">
        <f t="shared" si="0"/>
        <v>5083.4628975265014</v>
      </c>
    </row>
    <row r="19" spans="1:7" x14ac:dyDescent="0.2">
      <c r="A19" t="s">
        <v>9</v>
      </c>
      <c r="B19" s="91" t="s">
        <v>33</v>
      </c>
      <c r="C19" t="s">
        <v>29</v>
      </c>
      <c r="D19" t="s">
        <v>30</v>
      </c>
      <c r="E19" s="35">
        <v>2895900</v>
      </c>
      <c r="F19" s="1">
        <v>575</v>
      </c>
      <c r="G19">
        <f t="shared" si="0"/>
        <v>5036.347826086957</v>
      </c>
    </row>
    <row r="20" spans="1:7" x14ac:dyDescent="0.2">
      <c r="A20" t="s">
        <v>9</v>
      </c>
      <c r="B20" s="91" t="s">
        <v>34</v>
      </c>
      <c r="C20" t="s">
        <v>29</v>
      </c>
      <c r="D20" t="s">
        <v>30</v>
      </c>
      <c r="E20" s="35">
        <v>4353280</v>
      </c>
      <c r="F20" s="1">
        <v>727</v>
      </c>
      <c r="G20">
        <f t="shared" si="0"/>
        <v>5988.0055020632735</v>
      </c>
    </row>
    <row r="21" spans="1:7" x14ac:dyDescent="0.2">
      <c r="A21" t="s">
        <v>9</v>
      </c>
      <c r="B21" s="91" t="s">
        <v>35</v>
      </c>
      <c r="C21" t="s">
        <v>29</v>
      </c>
      <c r="D21" t="s">
        <v>30</v>
      </c>
      <c r="E21" s="35">
        <v>4618730</v>
      </c>
      <c r="F21" s="1">
        <v>767</v>
      </c>
      <c r="G21">
        <f t="shared" si="0"/>
        <v>6021.8122555410691</v>
      </c>
    </row>
    <row r="22" spans="1:7" x14ac:dyDescent="0.2">
      <c r="A22" t="s">
        <v>9</v>
      </c>
      <c r="B22" s="91" t="s">
        <v>36</v>
      </c>
      <c r="C22" t="s">
        <v>29</v>
      </c>
      <c r="D22" t="s">
        <v>30</v>
      </c>
      <c r="E22" s="35">
        <v>2289970</v>
      </c>
      <c r="F22" s="1">
        <v>467</v>
      </c>
      <c r="G22">
        <f>E22/F22</f>
        <v>4903.576017130621</v>
      </c>
    </row>
    <row r="23" spans="1:7" x14ac:dyDescent="0.2">
      <c r="A23" t="s">
        <v>9</v>
      </c>
      <c r="B23" s="91" t="s">
        <v>37</v>
      </c>
      <c r="C23" t="s">
        <v>38</v>
      </c>
      <c r="D23" t="s">
        <v>39</v>
      </c>
      <c r="E23" s="35">
        <v>2289970</v>
      </c>
      <c r="F23" s="1">
        <v>467</v>
      </c>
      <c r="G23">
        <f t="shared" ref="G23:G51" si="1">E23/F23</f>
        <v>4903.576017130621</v>
      </c>
    </row>
    <row r="24" spans="1:7" x14ac:dyDescent="0.2">
      <c r="A24" t="s">
        <v>9</v>
      </c>
      <c r="B24" s="91" t="s">
        <v>40</v>
      </c>
      <c r="C24" t="s">
        <v>38</v>
      </c>
      <c r="D24" t="s">
        <v>39</v>
      </c>
      <c r="E24" s="35">
        <v>2289970</v>
      </c>
      <c r="F24" s="1">
        <v>467</v>
      </c>
      <c r="G24">
        <f t="shared" si="1"/>
        <v>4903.576017130621</v>
      </c>
    </row>
    <row r="25" spans="1:7" x14ac:dyDescent="0.2">
      <c r="A25" t="s">
        <v>9</v>
      </c>
      <c r="B25" s="91" t="s">
        <v>41</v>
      </c>
      <c r="C25" t="s">
        <v>38</v>
      </c>
      <c r="D25" t="s">
        <v>39</v>
      </c>
      <c r="E25" s="35">
        <v>2289970</v>
      </c>
      <c r="F25" s="1">
        <v>467</v>
      </c>
      <c r="G25">
        <f t="shared" si="1"/>
        <v>4903.576017130621</v>
      </c>
    </row>
    <row r="26" spans="1:7" x14ac:dyDescent="0.2">
      <c r="A26" t="s">
        <v>9</v>
      </c>
      <c r="B26" s="91" t="s">
        <v>42</v>
      </c>
      <c r="C26" t="s">
        <v>38</v>
      </c>
      <c r="D26" t="s">
        <v>39</v>
      </c>
      <c r="E26" s="35">
        <v>2296630</v>
      </c>
      <c r="F26" s="1">
        <v>469</v>
      </c>
      <c r="G26">
        <f t="shared" si="1"/>
        <v>4896.8656716417909</v>
      </c>
    </row>
    <row r="27" spans="1:7" x14ac:dyDescent="0.2">
      <c r="A27" t="s">
        <v>9</v>
      </c>
      <c r="B27" s="91" t="s">
        <v>43</v>
      </c>
      <c r="C27" t="s">
        <v>38</v>
      </c>
      <c r="D27" t="s">
        <v>39</v>
      </c>
      <c r="E27" s="35">
        <v>2816170</v>
      </c>
      <c r="F27" s="1">
        <v>513</v>
      </c>
      <c r="G27">
        <f t="shared" si="1"/>
        <v>5489.6101364522419</v>
      </c>
    </row>
    <row r="28" spans="1:7" x14ac:dyDescent="0.2">
      <c r="A28" t="s">
        <v>9</v>
      </c>
      <c r="B28" s="91" t="s">
        <v>44</v>
      </c>
      <c r="C28" t="s">
        <v>38</v>
      </c>
      <c r="D28" t="s">
        <v>39</v>
      </c>
      <c r="E28" s="35">
        <v>3066770</v>
      </c>
      <c r="F28" s="1">
        <v>543</v>
      </c>
      <c r="G28">
        <f t="shared" si="1"/>
        <v>5647.8268876611419</v>
      </c>
    </row>
    <row r="29" spans="1:7" x14ac:dyDescent="0.2">
      <c r="A29" t="s">
        <v>9</v>
      </c>
      <c r="B29" s="91" t="s">
        <v>45</v>
      </c>
      <c r="C29" t="s">
        <v>38</v>
      </c>
      <c r="D29" t="s">
        <v>39</v>
      </c>
      <c r="E29" s="35">
        <v>2205090</v>
      </c>
      <c r="F29" s="1">
        <v>448</v>
      </c>
      <c r="G29">
        <f t="shared" si="1"/>
        <v>4922.0758928571431</v>
      </c>
    </row>
    <row r="30" spans="1:7" x14ac:dyDescent="0.2">
      <c r="A30" t="s">
        <v>9</v>
      </c>
      <c r="B30" s="91" t="s">
        <v>46</v>
      </c>
      <c r="C30" t="s">
        <v>47</v>
      </c>
      <c r="D30" t="s">
        <v>48</v>
      </c>
      <c r="E30" s="35">
        <v>2205090</v>
      </c>
      <c r="F30" s="1">
        <v>448</v>
      </c>
      <c r="G30">
        <f t="shared" si="1"/>
        <v>4922.0758928571431</v>
      </c>
    </row>
    <row r="31" spans="1:7" x14ac:dyDescent="0.2">
      <c r="A31" t="s">
        <v>9</v>
      </c>
      <c r="B31" s="91" t="s">
        <v>49</v>
      </c>
      <c r="C31" t="s">
        <v>47</v>
      </c>
      <c r="D31" t="s">
        <v>48</v>
      </c>
      <c r="E31" s="35">
        <v>2205090</v>
      </c>
      <c r="F31" s="1">
        <v>448</v>
      </c>
      <c r="G31">
        <f t="shared" si="1"/>
        <v>4922.0758928571431</v>
      </c>
    </row>
    <row r="32" spans="1:7" x14ac:dyDescent="0.2">
      <c r="A32" t="s">
        <v>9</v>
      </c>
      <c r="B32" s="91" t="s">
        <v>50</v>
      </c>
      <c r="C32" t="s">
        <v>47</v>
      </c>
      <c r="D32" t="s">
        <v>48</v>
      </c>
      <c r="E32" s="35">
        <v>2385790</v>
      </c>
      <c r="F32" s="1">
        <v>458</v>
      </c>
      <c r="G32">
        <f t="shared" si="1"/>
        <v>5209.1484716157202</v>
      </c>
    </row>
    <row r="33" spans="1:7" x14ac:dyDescent="0.2">
      <c r="A33" t="s">
        <v>9</v>
      </c>
      <c r="B33" s="91" t="s">
        <v>51</v>
      </c>
      <c r="C33" t="s">
        <v>47</v>
      </c>
      <c r="D33" t="s">
        <v>48</v>
      </c>
      <c r="E33" s="35">
        <v>2385790</v>
      </c>
      <c r="F33" s="1">
        <v>458</v>
      </c>
      <c r="G33">
        <f t="shared" si="1"/>
        <v>5209.1484716157202</v>
      </c>
    </row>
    <row r="34" spans="1:7" x14ac:dyDescent="0.2">
      <c r="A34" t="s">
        <v>9</v>
      </c>
      <c r="B34" s="91" t="s">
        <v>52</v>
      </c>
      <c r="C34" t="s">
        <v>47</v>
      </c>
      <c r="D34" t="s">
        <v>48</v>
      </c>
      <c r="E34" s="35">
        <v>2724590</v>
      </c>
      <c r="F34" s="1">
        <v>498</v>
      </c>
      <c r="G34">
        <f t="shared" si="1"/>
        <v>5471.0642570281125</v>
      </c>
    </row>
    <row r="35" spans="1:7" x14ac:dyDescent="0.2">
      <c r="A35" t="s">
        <v>9</v>
      </c>
      <c r="B35" s="91" t="s">
        <v>53</v>
      </c>
      <c r="C35" t="s">
        <v>47</v>
      </c>
      <c r="D35" t="s">
        <v>48</v>
      </c>
      <c r="E35" s="35">
        <v>2732690</v>
      </c>
      <c r="F35" s="1">
        <v>498</v>
      </c>
      <c r="G35">
        <f t="shared" si="1"/>
        <v>5487.3293172690765</v>
      </c>
    </row>
    <row r="36" spans="1:7" x14ac:dyDescent="0.2">
      <c r="A36" t="s">
        <v>9</v>
      </c>
      <c r="B36" s="91" t="s">
        <v>54</v>
      </c>
      <c r="C36" t="s">
        <v>47</v>
      </c>
      <c r="D36" t="s">
        <v>48</v>
      </c>
      <c r="E36" s="35">
        <v>3156070</v>
      </c>
      <c r="F36" s="1">
        <v>553</v>
      </c>
      <c r="G36">
        <f t="shared" si="1"/>
        <v>5707.1790235081371</v>
      </c>
    </row>
    <row r="37" spans="1:7" x14ac:dyDescent="0.2">
      <c r="A37" t="s">
        <v>9</v>
      </c>
      <c r="B37" s="91" t="s">
        <v>55</v>
      </c>
      <c r="C37" t="s">
        <v>56</v>
      </c>
      <c r="D37" t="s">
        <v>57</v>
      </c>
      <c r="E37" s="35">
        <v>3576070</v>
      </c>
      <c r="F37" s="1">
        <v>603</v>
      </c>
      <c r="G37">
        <f t="shared" si="1"/>
        <v>5930.4643449419573</v>
      </c>
    </row>
    <row r="38" spans="1:7" x14ac:dyDescent="0.2">
      <c r="A38" t="s">
        <v>9</v>
      </c>
      <c r="B38" s="91" t="s">
        <v>58</v>
      </c>
      <c r="C38" t="s">
        <v>56</v>
      </c>
      <c r="D38" t="s">
        <v>57</v>
      </c>
      <c r="E38" s="35">
        <v>3394420</v>
      </c>
      <c r="F38" s="1">
        <v>654</v>
      </c>
      <c r="G38">
        <f t="shared" si="1"/>
        <v>5190.2446483180429</v>
      </c>
    </row>
    <row r="39" spans="1:7" x14ac:dyDescent="0.2">
      <c r="A39" t="s">
        <v>9</v>
      </c>
      <c r="B39" s="91" t="s">
        <v>59</v>
      </c>
      <c r="C39" t="s">
        <v>56</v>
      </c>
      <c r="D39" t="s">
        <v>57</v>
      </c>
      <c r="E39" s="35">
        <v>3401080</v>
      </c>
      <c r="F39" s="1">
        <v>656</v>
      </c>
      <c r="G39">
        <f t="shared" si="1"/>
        <v>5184.5731707317073</v>
      </c>
    </row>
    <row r="40" spans="1:7" x14ac:dyDescent="0.2">
      <c r="A40" t="s">
        <v>9</v>
      </c>
      <c r="B40" s="91" t="s">
        <v>60</v>
      </c>
      <c r="C40" t="s">
        <v>56</v>
      </c>
      <c r="D40" t="s">
        <v>57</v>
      </c>
      <c r="E40" s="35">
        <v>3426130</v>
      </c>
      <c r="F40" s="1">
        <v>666</v>
      </c>
      <c r="G40">
        <f t="shared" si="1"/>
        <v>5144.3393393393389</v>
      </c>
    </row>
    <row r="41" spans="1:7" x14ac:dyDescent="0.2">
      <c r="A41" t="s">
        <v>9</v>
      </c>
      <c r="B41" s="91" t="s">
        <v>61</v>
      </c>
      <c r="C41" t="s">
        <v>56</v>
      </c>
      <c r="D41" t="s">
        <v>57</v>
      </c>
      <c r="E41" s="35">
        <v>4408990</v>
      </c>
      <c r="F41" s="1">
        <v>802</v>
      </c>
      <c r="G41">
        <f t="shared" si="1"/>
        <v>5497.4937655860349</v>
      </c>
    </row>
    <row r="42" spans="1:7" x14ac:dyDescent="0.2">
      <c r="A42" t="s">
        <v>9</v>
      </c>
      <c r="B42" s="91" t="s">
        <v>62</v>
      </c>
      <c r="C42" t="s">
        <v>56</v>
      </c>
      <c r="D42" t="s">
        <v>57</v>
      </c>
      <c r="E42" s="35">
        <v>4911020</v>
      </c>
      <c r="F42" s="1">
        <v>878</v>
      </c>
      <c r="G42">
        <f t="shared" si="1"/>
        <v>5593.4168564920274</v>
      </c>
    </row>
    <row r="43" spans="1:7" x14ac:dyDescent="0.2">
      <c r="A43" t="s">
        <v>9</v>
      </c>
      <c r="B43" s="91" t="s">
        <v>63</v>
      </c>
      <c r="C43" t="s">
        <v>56</v>
      </c>
      <c r="D43" t="s">
        <v>57</v>
      </c>
      <c r="E43" s="35">
        <v>3394420</v>
      </c>
      <c r="F43" s="1">
        <v>654</v>
      </c>
      <c r="G43">
        <f t="shared" si="1"/>
        <v>5190.2446483180429</v>
      </c>
    </row>
    <row r="44" spans="1:7" x14ac:dyDescent="0.2">
      <c r="A44" t="s">
        <v>9</v>
      </c>
      <c r="B44" s="91" t="s">
        <v>64</v>
      </c>
      <c r="C44" t="s">
        <v>65</v>
      </c>
      <c r="D44" t="s">
        <v>66</v>
      </c>
      <c r="E44" s="35">
        <v>3394420</v>
      </c>
      <c r="F44" s="1">
        <v>654</v>
      </c>
      <c r="G44">
        <f t="shared" si="1"/>
        <v>5190.2446483180429</v>
      </c>
    </row>
    <row r="45" spans="1:7" x14ac:dyDescent="0.2">
      <c r="A45" t="s">
        <v>9</v>
      </c>
      <c r="B45" s="91" t="s">
        <v>67</v>
      </c>
      <c r="C45" t="s">
        <v>65</v>
      </c>
      <c r="D45" t="s">
        <v>66</v>
      </c>
      <c r="E45" s="35">
        <v>2300470</v>
      </c>
      <c r="F45" s="1">
        <v>467</v>
      </c>
      <c r="G45">
        <f t="shared" si="1"/>
        <v>4926.0599571734474</v>
      </c>
    </row>
    <row r="46" spans="1:7" x14ac:dyDescent="0.2">
      <c r="A46" t="s">
        <v>9</v>
      </c>
      <c r="B46" s="91" t="s">
        <v>68</v>
      </c>
      <c r="C46" t="s">
        <v>65</v>
      </c>
      <c r="D46" t="s">
        <v>66</v>
      </c>
      <c r="E46" s="35">
        <v>2307130</v>
      </c>
      <c r="F46" s="1">
        <v>469</v>
      </c>
      <c r="G46">
        <f t="shared" si="1"/>
        <v>4919.253731343284</v>
      </c>
    </row>
    <row r="47" spans="1:7" x14ac:dyDescent="0.2">
      <c r="A47" t="s">
        <v>9</v>
      </c>
      <c r="B47" s="91" t="s">
        <v>69</v>
      </c>
      <c r="C47" t="s">
        <v>65</v>
      </c>
      <c r="D47" t="s">
        <v>66</v>
      </c>
      <c r="E47" s="35">
        <v>2332180</v>
      </c>
      <c r="F47" s="1">
        <v>479</v>
      </c>
      <c r="G47">
        <f t="shared" si="1"/>
        <v>4868.8517745302715</v>
      </c>
    </row>
    <row r="48" spans="1:7" x14ac:dyDescent="0.2">
      <c r="A48" t="s">
        <v>9</v>
      </c>
      <c r="B48" s="91" t="s">
        <v>70</v>
      </c>
      <c r="C48" t="s">
        <v>65</v>
      </c>
      <c r="D48" t="s">
        <v>66</v>
      </c>
      <c r="E48" s="35">
        <v>3081040</v>
      </c>
      <c r="F48" s="1">
        <v>575</v>
      </c>
      <c r="G48">
        <f t="shared" si="1"/>
        <v>5358.3304347826088</v>
      </c>
    </row>
    <row r="49" spans="1:7" x14ac:dyDescent="0.2">
      <c r="A49" t="s">
        <v>9</v>
      </c>
      <c r="B49" s="91" t="s">
        <v>71</v>
      </c>
      <c r="C49" t="s">
        <v>65</v>
      </c>
      <c r="D49" t="s">
        <v>66</v>
      </c>
      <c r="E49" s="35">
        <v>3460220</v>
      </c>
      <c r="F49" s="1">
        <v>630</v>
      </c>
      <c r="G49">
        <f t="shared" si="1"/>
        <v>5492.4126984126988</v>
      </c>
    </row>
    <row r="50" spans="1:7" x14ac:dyDescent="0.2">
      <c r="A50" t="s">
        <v>9</v>
      </c>
      <c r="B50" s="91" t="s">
        <v>72</v>
      </c>
      <c r="C50" t="s">
        <v>65</v>
      </c>
      <c r="D50" t="s">
        <v>66</v>
      </c>
      <c r="E50" s="35">
        <v>2300470</v>
      </c>
      <c r="F50" s="1">
        <v>467</v>
      </c>
      <c r="G50">
        <f t="shared" si="1"/>
        <v>4926.0599571734474</v>
      </c>
    </row>
    <row r="51" spans="1:7" x14ac:dyDescent="0.2">
      <c r="A51" t="s">
        <v>9</v>
      </c>
      <c r="B51" s="91" t="s">
        <v>73</v>
      </c>
      <c r="C51" t="s">
        <v>74</v>
      </c>
      <c r="D51" t="s">
        <v>75</v>
      </c>
      <c r="E51" s="35">
        <v>2300470</v>
      </c>
      <c r="F51" s="1">
        <v>467</v>
      </c>
      <c r="G51">
        <f t="shared" si="1"/>
        <v>4926.0599571734474</v>
      </c>
    </row>
    <row r="52" spans="1:7" x14ac:dyDescent="0.2">
      <c r="A52" t="s">
        <v>9</v>
      </c>
      <c r="B52" s="91" t="s">
        <v>76</v>
      </c>
      <c r="C52" t="s">
        <v>74</v>
      </c>
      <c r="D52" t="s">
        <v>75</v>
      </c>
      <c r="E52" s="35">
        <v>2381230</v>
      </c>
      <c r="F52" s="1">
        <v>488</v>
      </c>
      <c r="G52">
        <f>E52/F52</f>
        <v>4879.5696721311479</v>
      </c>
    </row>
    <row r="53" spans="1:7" x14ac:dyDescent="0.2">
      <c r="A53" t="s">
        <v>9</v>
      </c>
      <c r="B53" s="91" t="s">
        <v>77</v>
      </c>
      <c r="C53" t="s">
        <v>74</v>
      </c>
      <c r="D53" t="s">
        <v>75</v>
      </c>
      <c r="E53" s="35">
        <v>2419030</v>
      </c>
      <c r="F53" s="1">
        <v>488</v>
      </c>
      <c r="G53">
        <f t="shared" ref="G53:G81" si="2">E53/F53</f>
        <v>4957.0286885245905</v>
      </c>
    </row>
    <row r="54" spans="1:7" x14ac:dyDescent="0.2">
      <c r="A54" t="s">
        <v>9</v>
      </c>
      <c r="B54" s="91" t="s">
        <v>78</v>
      </c>
      <c r="C54" t="s">
        <v>74</v>
      </c>
      <c r="D54" t="s">
        <v>75</v>
      </c>
      <c r="E54" s="35">
        <v>2419030</v>
      </c>
      <c r="F54" s="1">
        <v>488</v>
      </c>
      <c r="G54">
        <f t="shared" si="2"/>
        <v>4957.0286885245905</v>
      </c>
    </row>
    <row r="55" spans="1:7" x14ac:dyDescent="0.2">
      <c r="A55" t="s">
        <v>9</v>
      </c>
      <c r="B55" s="91" t="s">
        <v>79</v>
      </c>
      <c r="C55" t="s">
        <v>74</v>
      </c>
      <c r="D55" t="s">
        <v>75</v>
      </c>
      <c r="E55" s="35">
        <v>2941540</v>
      </c>
      <c r="F55" s="1">
        <v>543</v>
      </c>
      <c r="G55">
        <f t="shared" si="2"/>
        <v>5417.2007366482503</v>
      </c>
    </row>
    <row r="56" spans="1:7" x14ac:dyDescent="0.2">
      <c r="A56" t="s">
        <v>9</v>
      </c>
      <c r="B56" s="91" t="s">
        <v>80</v>
      </c>
      <c r="C56" t="s">
        <v>74</v>
      </c>
      <c r="D56" t="s">
        <v>75</v>
      </c>
      <c r="E56" s="35">
        <v>3360490</v>
      </c>
      <c r="F56" s="1">
        <v>603</v>
      </c>
      <c r="G56">
        <f t="shared" si="2"/>
        <v>5572.9519071310115</v>
      </c>
    </row>
    <row r="57" spans="1:7" x14ac:dyDescent="0.2">
      <c r="A57" t="s">
        <v>9</v>
      </c>
      <c r="B57" s="91" t="s">
        <v>81</v>
      </c>
      <c r="C57" t="s">
        <v>74</v>
      </c>
      <c r="D57" t="s">
        <v>75</v>
      </c>
      <c r="E57" s="35">
        <v>2415430</v>
      </c>
      <c r="F57" s="1">
        <v>483</v>
      </c>
      <c r="G57">
        <f t="shared" si="2"/>
        <v>5000.8902691511385</v>
      </c>
    </row>
    <row r="58" spans="1:7" x14ac:dyDescent="0.2">
      <c r="A58" t="s">
        <v>9</v>
      </c>
      <c r="B58" s="91" t="s">
        <v>82</v>
      </c>
      <c r="C58" t="s">
        <v>83</v>
      </c>
      <c r="D58" t="s">
        <v>84</v>
      </c>
      <c r="E58" s="35">
        <v>2415430</v>
      </c>
      <c r="F58" s="1">
        <v>483</v>
      </c>
      <c r="G58">
        <f t="shared" si="2"/>
        <v>5000.8902691511385</v>
      </c>
    </row>
    <row r="59" spans="1:7" x14ac:dyDescent="0.2">
      <c r="A59" t="s">
        <v>9</v>
      </c>
      <c r="B59" s="91" t="s">
        <v>85</v>
      </c>
      <c r="C59" t="s">
        <v>83</v>
      </c>
      <c r="D59" t="s">
        <v>84</v>
      </c>
      <c r="E59" s="35">
        <v>2415430</v>
      </c>
      <c r="F59" s="1">
        <v>483</v>
      </c>
      <c r="G59">
        <f t="shared" si="2"/>
        <v>5000.8902691511385</v>
      </c>
    </row>
    <row r="60" spans="1:7" x14ac:dyDescent="0.2">
      <c r="A60" t="s">
        <v>9</v>
      </c>
      <c r="B60" s="91" t="s">
        <v>86</v>
      </c>
      <c r="C60" t="s">
        <v>83</v>
      </c>
      <c r="D60" t="s">
        <v>84</v>
      </c>
      <c r="E60" s="35">
        <v>2415430</v>
      </c>
      <c r="F60" s="1">
        <v>483</v>
      </c>
      <c r="G60">
        <f t="shared" si="2"/>
        <v>5000.8902691511385</v>
      </c>
    </row>
    <row r="61" spans="1:7" x14ac:dyDescent="0.2">
      <c r="A61" t="s">
        <v>9</v>
      </c>
      <c r="B61" s="91" t="s">
        <v>87</v>
      </c>
      <c r="C61" t="s">
        <v>83</v>
      </c>
      <c r="D61" t="s">
        <v>84</v>
      </c>
      <c r="E61" s="35">
        <v>2415430</v>
      </c>
      <c r="F61" s="1">
        <v>483</v>
      </c>
      <c r="G61">
        <f t="shared" si="2"/>
        <v>5000.8902691511385</v>
      </c>
    </row>
    <row r="62" spans="1:7" x14ac:dyDescent="0.2">
      <c r="A62" t="s">
        <v>9</v>
      </c>
      <c r="B62" s="91" t="s">
        <v>88</v>
      </c>
      <c r="C62" t="s">
        <v>83</v>
      </c>
      <c r="D62" t="s">
        <v>84</v>
      </c>
      <c r="E62" s="35">
        <v>2982040</v>
      </c>
      <c r="F62" s="1">
        <v>543</v>
      </c>
      <c r="G62">
        <f t="shared" si="2"/>
        <v>5491.7863720073665</v>
      </c>
    </row>
    <row r="63" spans="1:7" x14ac:dyDescent="0.2">
      <c r="A63" t="s">
        <v>9</v>
      </c>
      <c r="B63" s="91" t="s">
        <v>89</v>
      </c>
      <c r="C63" t="s">
        <v>83</v>
      </c>
      <c r="D63" t="s">
        <v>84</v>
      </c>
      <c r="E63" s="35">
        <v>3356890</v>
      </c>
      <c r="F63" s="1">
        <v>598</v>
      </c>
      <c r="G63">
        <f t="shared" si="2"/>
        <v>5613.5284280936457</v>
      </c>
    </row>
    <row r="64" spans="1:7" x14ac:dyDescent="0.2">
      <c r="A64" t="s">
        <v>9</v>
      </c>
      <c r="B64" s="91" t="s">
        <v>90</v>
      </c>
      <c r="C64" t="s">
        <v>83</v>
      </c>
      <c r="D64" t="s">
        <v>84</v>
      </c>
      <c r="E64" s="35">
        <v>2649880</v>
      </c>
      <c r="F64" s="1">
        <v>498</v>
      </c>
      <c r="G64">
        <f t="shared" si="2"/>
        <v>5321.0441767068269</v>
      </c>
    </row>
    <row r="65" spans="1:7" x14ac:dyDescent="0.2">
      <c r="A65" t="s">
        <v>9</v>
      </c>
      <c r="B65" s="91" t="s">
        <v>91</v>
      </c>
      <c r="C65" t="s">
        <v>92</v>
      </c>
      <c r="D65" t="s">
        <v>93</v>
      </c>
      <c r="E65" s="35">
        <v>2657980</v>
      </c>
      <c r="F65" s="1">
        <v>498</v>
      </c>
      <c r="G65">
        <f t="shared" si="2"/>
        <v>5337.3092369477909</v>
      </c>
    </row>
    <row r="66" spans="1:7" x14ac:dyDescent="0.2">
      <c r="A66" t="s">
        <v>9</v>
      </c>
      <c r="B66" s="91" t="s">
        <v>94</v>
      </c>
      <c r="C66" t="s">
        <v>92</v>
      </c>
      <c r="D66" t="s">
        <v>93</v>
      </c>
      <c r="E66" s="35">
        <v>2657980</v>
      </c>
      <c r="F66" s="1">
        <v>498</v>
      </c>
      <c r="G66">
        <f t="shared" si="2"/>
        <v>5337.3092369477909</v>
      </c>
    </row>
    <row r="67" spans="1:7" x14ac:dyDescent="0.2">
      <c r="A67" t="s">
        <v>9</v>
      </c>
      <c r="B67" s="91" t="s">
        <v>95</v>
      </c>
      <c r="C67" t="s">
        <v>92</v>
      </c>
      <c r="D67" t="s">
        <v>93</v>
      </c>
      <c r="E67" s="35">
        <v>2432440</v>
      </c>
      <c r="F67" s="1">
        <v>485</v>
      </c>
      <c r="G67">
        <f t="shared" si="2"/>
        <v>5015.3402061855668</v>
      </c>
    </row>
    <row r="68" spans="1:7" x14ac:dyDescent="0.2">
      <c r="A68" t="s">
        <v>9</v>
      </c>
      <c r="B68" s="91" t="s">
        <v>96</v>
      </c>
      <c r="C68" t="s">
        <v>92</v>
      </c>
      <c r="D68" t="s">
        <v>93</v>
      </c>
      <c r="E68" s="35">
        <v>2429530</v>
      </c>
      <c r="F68" s="1">
        <v>488</v>
      </c>
      <c r="G68">
        <f t="shared" si="2"/>
        <v>4978.5450819672133</v>
      </c>
    </row>
    <row r="69" spans="1:7" x14ac:dyDescent="0.2">
      <c r="A69" t="s">
        <v>9</v>
      </c>
      <c r="B69" s="91" t="s">
        <v>97</v>
      </c>
      <c r="C69" t="s">
        <v>92</v>
      </c>
      <c r="D69" t="s">
        <v>93</v>
      </c>
      <c r="E69" s="35">
        <v>2957440</v>
      </c>
      <c r="F69" s="1">
        <v>544</v>
      </c>
      <c r="G69">
        <f t="shared" si="2"/>
        <v>5436.4705882352937</v>
      </c>
    </row>
    <row r="70" spans="1:7" x14ac:dyDescent="0.2">
      <c r="A70" t="s">
        <v>9</v>
      </c>
      <c r="B70" s="91" t="s">
        <v>98</v>
      </c>
      <c r="C70" t="s">
        <v>92</v>
      </c>
      <c r="D70" t="s">
        <v>93</v>
      </c>
      <c r="E70" s="35">
        <v>3376390</v>
      </c>
      <c r="F70" s="1">
        <v>604</v>
      </c>
      <c r="G70">
        <f t="shared" si="2"/>
        <v>5590.0496688741723</v>
      </c>
    </row>
    <row r="71" spans="1:7" x14ac:dyDescent="0.2">
      <c r="A71" t="s">
        <v>9</v>
      </c>
      <c r="B71" s="91" t="s">
        <v>99</v>
      </c>
      <c r="C71" t="s">
        <v>92</v>
      </c>
      <c r="D71" t="s">
        <v>93</v>
      </c>
      <c r="E71" s="35">
        <v>2434850</v>
      </c>
      <c r="F71" s="1">
        <v>492</v>
      </c>
      <c r="G71">
        <f t="shared" si="2"/>
        <v>4948.8821138211379</v>
      </c>
    </row>
    <row r="72" spans="1:7" x14ac:dyDescent="0.2">
      <c r="A72" t="s">
        <v>9</v>
      </c>
      <c r="B72" s="91" t="s">
        <v>100</v>
      </c>
      <c r="C72" t="s">
        <v>101</v>
      </c>
      <c r="D72" t="s">
        <v>102</v>
      </c>
      <c r="E72" s="35">
        <v>2458850</v>
      </c>
      <c r="F72" s="1">
        <v>497</v>
      </c>
      <c r="G72">
        <f t="shared" si="2"/>
        <v>4947.3843058350103</v>
      </c>
    </row>
    <row r="73" spans="1:7" x14ac:dyDescent="0.2">
      <c r="A73" t="s">
        <v>9</v>
      </c>
      <c r="B73" s="91" t="s">
        <v>103</v>
      </c>
      <c r="C73" t="s">
        <v>101</v>
      </c>
      <c r="D73" t="s">
        <v>102</v>
      </c>
      <c r="E73" s="35">
        <v>2429530</v>
      </c>
      <c r="F73" s="1">
        <v>488</v>
      </c>
      <c r="G73">
        <f t="shared" si="2"/>
        <v>4978.5450819672133</v>
      </c>
    </row>
    <row r="74" spans="1:7" x14ac:dyDescent="0.2">
      <c r="A74" t="s">
        <v>9</v>
      </c>
      <c r="B74" s="91" t="s">
        <v>104</v>
      </c>
      <c r="C74" t="s">
        <v>101</v>
      </c>
      <c r="D74" t="s">
        <v>102</v>
      </c>
      <c r="E74" s="35">
        <v>2429530</v>
      </c>
      <c r="F74" s="1">
        <v>488</v>
      </c>
      <c r="G74">
        <f t="shared" si="2"/>
        <v>4978.5450819672133</v>
      </c>
    </row>
    <row r="75" spans="1:7" x14ac:dyDescent="0.2">
      <c r="A75" t="s">
        <v>9</v>
      </c>
      <c r="B75" s="91" t="s">
        <v>105</v>
      </c>
      <c r="C75" t="s">
        <v>101</v>
      </c>
      <c r="D75" t="s">
        <v>102</v>
      </c>
      <c r="E75" s="35">
        <v>2429530</v>
      </c>
      <c r="F75" s="1">
        <v>488</v>
      </c>
      <c r="G75">
        <f t="shared" si="2"/>
        <v>4978.5450819672133</v>
      </c>
    </row>
    <row r="76" spans="1:7" x14ac:dyDescent="0.2">
      <c r="A76" t="s">
        <v>9</v>
      </c>
      <c r="B76" s="91" t="s">
        <v>106</v>
      </c>
      <c r="C76" t="s">
        <v>101</v>
      </c>
      <c r="D76" t="s">
        <v>102</v>
      </c>
      <c r="E76" s="35">
        <v>2934940</v>
      </c>
      <c r="F76" s="1">
        <v>539</v>
      </c>
      <c r="G76">
        <f t="shared" si="2"/>
        <v>5445.1576994434135</v>
      </c>
    </row>
    <row r="77" spans="1:7" x14ac:dyDescent="0.2">
      <c r="A77" t="s">
        <v>9</v>
      </c>
      <c r="B77" s="91" t="s">
        <v>107</v>
      </c>
      <c r="C77" t="s">
        <v>101</v>
      </c>
      <c r="D77" t="s">
        <v>102</v>
      </c>
      <c r="E77" s="35">
        <v>3325990</v>
      </c>
      <c r="F77" s="1">
        <v>593</v>
      </c>
      <c r="G77">
        <f t="shared" si="2"/>
        <v>5608.7521079258013</v>
      </c>
    </row>
    <row r="78" spans="1:7" x14ac:dyDescent="0.2">
      <c r="A78" t="s">
        <v>9</v>
      </c>
      <c r="B78" s="91" t="s">
        <v>108</v>
      </c>
      <c r="C78" t="s">
        <v>101</v>
      </c>
      <c r="D78" t="s">
        <v>102</v>
      </c>
      <c r="E78" s="35">
        <v>2434850</v>
      </c>
      <c r="F78" s="1">
        <v>492</v>
      </c>
      <c r="G78">
        <f t="shared" si="2"/>
        <v>4948.8821138211379</v>
      </c>
    </row>
    <row r="79" spans="1:7" x14ac:dyDescent="0.2">
      <c r="A79" t="s">
        <v>9</v>
      </c>
      <c r="B79" s="91" t="s">
        <v>109</v>
      </c>
      <c r="E79" s="35">
        <v>2458850</v>
      </c>
      <c r="F79" s="1">
        <v>497</v>
      </c>
      <c r="G79">
        <f t="shared" si="2"/>
        <v>4947.3843058350103</v>
      </c>
    </row>
    <row r="80" spans="1:7" x14ac:dyDescent="0.2">
      <c r="A80" t="s">
        <v>9</v>
      </c>
      <c r="B80" s="91" t="s">
        <v>110</v>
      </c>
      <c r="E80" s="35">
        <v>2429530</v>
      </c>
      <c r="F80" s="1">
        <v>488</v>
      </c>
      <c r="G80">
        <f t="shared" si="2"/>
        <v>4978.5450819672133</v>
      </c>
    </row>
    <row r="81" spans="1:7" x14ac:dyDescent="0.2">
      <c r="A81" t="s">
        <v>9</v>
      </c>
      <c r="B81" s="91" t="s">
        <v>111</v>
      </c>
      <c r="E81" s="35">
        <v>2429530</v>
      </c>
      <c r="F81" s="1">
        <v>488</v>
      </c>
      <c r="G81">
        <f t="shared" si="2"/>
        <v>4978.5450819672133</v>
      </c>
    </row>
    <row r="82" spans="1:7" x14ac:dyDescent="0.2">
      <c r="A82" t="s">
        <v>9</v>
      </c>
      <c r="B82" s="91" t="s">
        <v>112</v>
      </c>
      <c r="C82" t="s">
        <v>113</v>
      </c>
      <c r="D82" t="s">
        <v>114</v>
      </c>
      <c r="E82" s="35">
        <v>15391240</v>
      </c>
      <c r="F82" s="1">
        <v>1762</v>
      </c>
      <c r="G82">
        <f>E82/F82</f>
        <v>8735.0964812712828</v>
      </c>
    </row>
    <row r="83" spans="1:7" x14ac:dyDescent="0.2">
      <c r="A83" t="s">
        <v>9</v>
      </c>
      <c r="B83" s="91" t="s">
        <v>115</v>
      </c>
      <c r="C83" t="s">
        <v>113</v>
      </c>
      <c r="D83" t="s">
        <v>114</v>
      </c>
      <c r="E83" s="35">
        <v>15622330</v>
      </c>
      <c r="F83" s="1">
        <v>1785</v>
      </c>
      <c r="G83">
        <f t="shared" ref="G83:G92" si="3">E83/F83</f>
        <v>8752.0056022408971</v>
      </c>
    </row>
    <row r="84" spans="1:7" x14ac:dyDescent="0.2">
      <c r="A84" t="s">
        <v>9</v>
      </c>
      <c r="B84" s="91" t="s">
        <v>116</v>
      </c>
      <c r="C84" t="s">
        <v>113</v>
      </c>
      <c r="D84" t="s">
        <v>114</v>
      </c>
      <c r="E84" s="35">
        <v>15635530</v>
      </c>
      <c r="F84" s="1">
        <v>1787</v>
      </c>
      <c r="G84">
        <f t="shared" si="3"/>
        <v>8749.5970900951306</v>
      </c>
    </row>
    <row r="85" spans="1:7" x14ac:dyDescent="0.2">
      <c r="A85" t="s">
        <v>9</v>
      </c>
      <c r="B85" s="91" t="s">
        <v>117</v>
      </c>
      <c r="C85" t="s">
        <v>113</v>
      </c>
      <c r="D85" t="s">
        <v>114</v>
      </c>
      <c r="E85" s="35">
        <v>15330340</v>
      </c>
      <c r="F85" s="1">
        <v>1753</v>
      </c>
      <c r="G85">
        <f t="shared" si="3"/>
        <v>8745.2025099828861</v>
      </c>
    </row>
    <row r="86" spans="1:7" x14ac:dyDescent="0.2">
      <c r="A86" t="s">
        <v>9</v>
      </c>
      <c r="B86" s="91" t="s">
        <v>118</v>
      </c>
      <c r="C86" t="s">
        <v>113</v>
      </c>
      <c r="D86" t="s">
        <v>114</v>
      </c>
      <c r="E86" s="35">
        <v>15445600</v>
      </c>
      <c r="F86" s="1">
        <v>1765</v>
      </c>
      <c r="G86">
        <f t="shared" si="3"/>
        <v>8751.0481586402275</v>
      </c>
    </row>
    <row r="87" spans="1:7" x14ac:dyDescent="0.2">
      <c r="A87" t="s">
        <v>9</v>
      </c>
      <c r="B87" s="91" t="s">
        <v>119</v>
      </c>
      <c r="C87" t="s">
        <v>113</v>
      </c>
      <c r="D87" t="s">
        <v>114</v>
      </c>
      <c r="E87" s="35">
        <v>15478520</v>
      </c>
      <c r="F87" s="1">
        <v>1768</v>
      </c>
      <c r="G87">
        <f t="shared" si="3"/>
        <v>8754.8190045248866</v>
      </c>
    </row>
    <row r="88" spans="1:7" x14ac:dyDescent="0.2">
      <c r="A88" t="s">
        <v>9</v>
      </c>
      <c r="B88" s="91" t="s">
        <v>120</v>
      </c>
      <c r="C88" t="s">
        <v>113</v>
      </c>
      <c r="D88" t="s">
        <v>114</v>
      </c>
      <c r="E88" s="35">
        <v>15481940</v>
      </c>
      <c r="F88" s="1">
        <v>1769</v>
      </c>
      <c r="G88">
        <f t="shared" si="3"/>
        <v>8751.8032786885251</v>
      </c>
    </row>
    <row r="89" spans="1:7" x14ac:dyDescent="0.2">
      <c r="A89" t="s">
        <v>9</v>
      </c>
      <c r="B89" s="91" t="s">
        <v>121</v>
      </c>
      <c r="C89" t="s">
        <v>113</v>
      </c>
      <c r="D89" t="s">
        <v>114</v>
      </c>
      <c r="E89" s="35">
        <v>15481940</v>
      </c>
      <c r="F89" s="1">
        <v>1769</v>
      </c>
      <c r="G89">
        <f t="shared" si="3"/>
        <v>8751.8032786885251</v>
      </c>
    </row>
    <row r="90" spans="1:7" x14ac:dyDescent="0.2">
      <c r="A90" t="s">
        <v>9</v>
      </c>
      <c r="B90" s="91" t="s">
        <v>122</v>
      </c>
      <c r="C90" t="s">
        <v>113</v>
      </c>
      <c r="D90" t="s">
        <v>114</v>
      </c>
      <c r="E90" s="35">
        <v>16330870</v>
      </c>
      <c r="F90" s="1">
        <v>1870</v>
      </c>
      <c r="G90">
        <f t="shared" si="3"/>
        <v>8733.0855614973261</v>
      </c>
    </row>
    <row r="91" spans="1:7" x14ac:dyDescent="0.2">
      <c r="A91" t="s">
        <v>9</v>
      </c>
      <c r="B91" s="91" t="s">
        <v>123</v>
      </c>
      <c r="C91" t="s">
        <v>113</v>
      </c>
      <c r="D91" t="s">
        <v>114</v>
      </c>
      <c r="E91" s="35">
        <v>16568880</v>
      </c>
      <c r="F91" s="1">
        <v>1896</v>
      </c>
      <c r="G91">
        <f t="shared" si="3"/>
        <v>8738.8607594936711</v>
      </c>
    </row>
    <row r="92" spans="1:7" x14ac:dyDescent="0.2">
      <c r="A92" t="s">
        <v>9</v>
      </c>
      <c r="B92" s="91" t="s">
        <v>124</v>
      </c>
      <c r="C92" t="s">
        <v>113</v>
      </c>
      <c r="D92" t="s">
        <v>114</v>
      </c>
      <c r="E92" s="35">
        <v>15491660</v>
      </c>
      <c r="F92" s="1">
        <v>1771</v>
      </c>
      <c r="G92">
        <f t="shared" si="3"/>
        <v>8747.4082439299837</v>
      </c>
    </row>
    <row r="93" spans="1:7" x14ac:dyDescent="0.2">
      <c r="A93" t="s">
        <v>9</v>
      </c>
      <c r="B93" s="91" t="s">
        <v>125</v>
      </c>
      <c r="C93" t="s">
        <v>126</v>
      </c>
      <c r="D93" t="s">
        <v>127</v>
      </c>
      <c r="E93" s="35">
        <v>2229830</v>
      </c>
      <c r="F93" s="1">
        <v>427</v>
      </c>
      <c r="G93">
        <f>E93/F93</f>
        <v>5222.0843091334891</v>
      </c>
    </row>
    <row r="94" spans="1:7" x14ac:dyDescent="0.2">
      <c r="A94" t="s">
        <v>9</v>
      </c>
      <c r="B94" s="91" t="s">
        <v>128</v>
      </c>
      <c r="C94" t="s">
        <v>126</v>
      </c>
      <c r="D94" t="s">
        <v>127</v>
      </c>
      <c r="E94" s="35">
        <v>2225900</v>
      </c>
      <c r="F94" s="1">
        <v>423</v>
      </c>
      <c r="G94">
        <f t="shared" ref="G94:G113" si="4">E94/F94</f>
        <v>5262.1749408983451</v>
      </c>
    </row>
    <row r="95" spans="1:7" x14ac:dyDescent="0.2">
      <c r="A95" t="s">
        <v>9</v>
      </c>
      <c r="B95" s="91" t="s">
        <v>129</v>
      </c>
      <c r="C95" t="s">
        <v>126</v>
      </c>
      <c r="D95" t="s">
        <v>127</v>
      </c>
      <c r="E95" s="35">
        <v>2234000</v>
      </c>
      <c r="F95" s="1">
        <v>423</v>
      </c>
      <c r="G95">
        <f t="shared" si="4"/>
        <v>5281.3238770685575</v>
      </c>
    </row>
    <row r="96" spans="1:7" x14ac:dyDescent="0.2">
      <c r="A96" t="s">
        <v>9</v>
      </c>
      <c r="B96" s="91" t="s">
        <v>130</v>
      </c>
      <c r="C96" t="s">
        <v>126</v>
      </c>
      <c r="D96" t="s">
        <v>127</v>
      </c>
      <c r="E96" s="35">
        <v>2245040</v>
      </c>
      <c r="F96" s="1">
        <v>425</v>
      </c>
      <c r="G96">
        <f t="shared" si="4"/>
        <v>5282.447058823529</v>
      </c>
    </row>
    <row r="97" spans="1:7" x14ac:dyDescent="0.2">
      <c r="A97" t="s">
        <v>9</v>
      </c>
      <c r="B97" s="91" t="s">
        <v>131</v>
      </c>
      <c r="C97" t="s">
        <v>126</v>
      </c>
      <c r="D97" t="s">
        <v>127</v>
      </c>
      <c r="E97" s="35">
        <v>2342150</v>
      </c>
      <c r="F97" s="1">
        <v>437</v>
      </c>
      <c r="G97">
        <f t="shared" si="4"/>
        <v>5359.6109839816936</v>
      </c>
    </row>
    <row r="98" spans="1:7" x14ac:dyDescent="0.2">
      <c r="A98" t="s">
        <v>9</v>
      </c>
      <c r="B98" s="91" t="s">
        <v>132</v>
      </c>
      <c r="C98" t="s">
        <v>126</v>
      </c>
      <c r="D98" t="s">
        <v>127</v>
      </c>
      <c r="E98" s="35">
        <v>2553860</v>
      </c>
      <c r="F98" s="1">
        <v>469</v>
      </c>
      <c r="G98">
        <f t="shared" si="4"/>
        <v>5445.3304904051174</v>
      </c>
    </row>
    <row r="99" spans="1:7" x14ac:dyDescent="0.2">
      <c r="A99" t="s">
        <v>9</v>
      </c>
      <c r="B99" s="91" t="s">
        <v>133</v>
      </c>
      <c r="C99" t="s">
        <v>126</v>
      </c>
      <c r="D99" t="s">
        <v>127</v>
      </c>
      <c r="E99" s="35">
        <v>2190240</v>
      </c>
      <c r="F99" s="1">
        <v>431</v>
      </c>
      <c r="G99">
        <f t="shared" si="4"/>
        <v>5081.7633410672852</v>
      </c>
    </row>
    <row r="100" spans="1:7" x14ac:dyDescent="0.2">
      <c r="A100" t="s">
        <v>9</v>
      </c>
      <c r="B100" s="91" t="s">
        <v>134</v>
      </c>
      <c r="C100" t="s">
        <v>135</v>
      </c>
      <c r="D100" t="s">
        <v>136</v>
      </c>
      <c r="E100" s="35">
        <v>2211770</v>
      </c>
      <c r="F100" s="1">
        <v>439</v>
      </c>
      <c r="G100">
        <f t="shared" si="4"/>
        <v>5038.2004555808653</v>
      </c>
    </row>
    <row r="101" spans="1:7" x14ac:dyDescent="0.2">
      <c r="A101" t="s">
        <v>9</v>
      </c>
      <c r="B101" s="91" t="s">
        <v>137</v>
      </c>
      <c r="C101" t="s">
        <v>135</v>
      </c>
      <c r="D101" t="s">
        <v>136</v>
      </c>
      <c r="E101" s="35">
        <v>2187400</v>
      </c>
      <c r="F101" s="1">
        <v>431</v>
      </c>
      <c r="G101">
        <f t="shared" si="4"/>
        <v>5075.1740139211133</v>
      </c>
    </row>
    <row r="102" spans="1:7" x14ac:dyDescent="0.2">
      <c r="A102" t="s">
        <v>9</v>
      </c>
      <c r="B102" s="91" t="s">
        <v>138</v>
      </c>
      <c r="C102" t="s">
        <v>135</v>
      </c>
      <c r="D102" t="s">
        <v>136</v>
      </c>
      <c r="E102" s="35">
        <v>2198440</v>
      </c>
      <c r="F102" s="1">
        <v>433</v>
      </c>
      <c r="G102">
        <f t="shared" si="4"/>
        <v>5077.2286374133946</v>
      </c>
    </row>
    <row r="103" spans="1:7" x14ac:dyDescent="0.2">
      <c r="A103" t="s">
        <v>9</v>
      </c>
      <c r="B103" s="91" t="s">
        <v>139</v>
      </c>
      <c r="C103" t="s">
        <v>135</v>
      </c>
      <c r="D103" t="s">
        <v>136</v>
      </c>
      <c r="E103" s="35">
        <v>2194440</v>
      </c>
      <c r="F103" s="1">
        <v>431</v>
      </c>
      <c r="G103">
        <f t="shared" si="4"/>
        <v>5091.5081206496516</v>
      </c>
    </row>
    <row r="104" spans="1:7" x14ac:dyDescent="0.2">
      <c r="A104" t="s">
        <v>9</v>
      </c>
      <c r="B104" s="91" t="s">
        <v>140</v>
      </c>
      <c r="C104" t="s">
        <v>135</v>
      </c>
      <c r="D104" t="s">
        <v>136</v>
      </c>
      <c r="E104" s="35">
        <v>2311340</v>
      </c>
      <c r="F104" s="1">
        <v>441</v>
      </c>
      <c r="G104">
        <f t="shared" si="4"/>
        <v>5241.1337868480723</v>
      </c>
    </row>
    <row r="105" spans="1:7" x14ac:dyDescent="0.2">
      <c r="A105" t="s">
        <v>9</v>
      </c>
      <c r="B105" s="91" t="s">
        <v>141</v>
      </c>
      <c r="C105" t="s">
        <v>135</v>
      </c>
      <c r="D105" t="s">
        <v>136</v>
      </c>
      <c r="E105" s="35">
        <v>2509760</v>
      </c>
      <c r="F105" s="1">
        <v>469</v>
      </c>
      <c r="G105">
        <f t="shared" si="4"/>
        <v>5351.3006396588489</v>
      </c>
    </row>
    <row r="106" spans="1:7" x14ac:dyDescent="0.2">
      <c r="A106" t="s">
        <v>9</v>
      </c>
      <c r="B106" s="91" t="s">
        <v>142</v>
      </c>
      <c r="C106" t="s">
        <v>135</v>
      </c>
      <c r="D106" t="s">
        <v>136</v>
      </c>
      <c r="E106" s="35">
        <v>2190240</v>
      </c>
      <c r="F106" s="1">
        <v>431</v>
      </c>
      <c r="G106">
        <f t="shared" si="4"/>
        <v>5081.7633410672852</v>
      </c>
    </row>
    <row r="107" spans="1:7" x14ac:dyDescent="0.2">
      <c r="A107" t="s">
        <v>9</v>
      </c>
      <c r="B107" s="91" t="s">
        <v>143</v>
      </c>
      <c r="C107" t="s">
        <v>144</v>
      </c>
      <c r="D107" t="s">
        <v>145</v>
      </c>
      <c r="E107" s="35">
        <v>2211770</v>
      </c>
      <c r="F107" s="1">
        <v>439</v>
      </c>
      <c r="G107">
        <f t="shared" si="4"/>
        <v>5038.2004555808653</v>
      </c>
    </row>
    <row r="108" spans="1:7" x14ac:dyDescent="0.2">
      <c r="A108" t="s">
        <v>9</v>
      </c>
      <c r="B108" s="91" t="s">
        <v>146</v>
      </c>
      <c r="C108" t="s">
        <v>144</v>
      </c>
      <c r="D108" t="s">
        <v>145</v>
      </c>
      <c r="E108" s="35">
        <v>2187400</v>
      </c>
      <c r="F108" s="1">
        <v>431</v>
      </c>
      <c r="G108">
        <f t="shared" si="4"/>
        <v>5075.1740139211133</v>
      </c>
    </row>
    <row r="109" spans="1:7" x14ac:dyDescent="0.2">
      <c r="A109" t="s">
        <v>9</v>
      </c>
      <c r="B109" s="91" t="s">
        <v>147</v>
      </c>
      <c r="C109" t="s">
        <v>144</v>
      </c>
      <c r="D109" t="s">
        <v>145</v>
      </c>
      <c r="E109" s="35">
        <v>2198440</v>
      </c>
      <c r="F109" s="1">
        <v>433</v>
      </c>
      <c r="G109">
        <f t="shared" si="4"/>
        <v>5077.2286374133946</v>
      </c>
    </row>
    <row r="110" spans="1:7" x14ac:dyDescent="0.2">
      <c r="A110" t="s">
        <v>9</v>
      </c>
      <c r="B110" s="91" t="s">
        <v>148</v>
      </c>
      <c r="C110" t="s">
        <v>144</v>
      </c>
      <c r="D110" t="s">
        <v>145</v>
      </c>
      <c r="E110" s="35">
        <v>2194440</v>
      </c>
      <c r="F110" s="1">
        <v>431</v>
      </c>
      <c r="G110">
        <f t="shared" si="4"/>
        <v>5091.5081206496516</v>
      </c>
    </row>
    <row r="111" spans="1:7" x14ac:dyDescent="0.2">
      <c r="A111" t="s">
        <v>9</v>
      </c>
      <c r="B111" s="91" t="s">
        <v>149</v>
      </c>
      <c r="C111" t="s">
        <v>144</v>
      </c>
      <c r="D111" t="s">
        <v>145</v>
      </c>
      <c r="E111" s="35">
        <v>2311340</v>
      </c>
      <c r="F111" s="1">
        <v>441</v>
      </c>
      <c r="G111">
        <f t="shared" si="4"/>
        <v>5241.1337868480723</v>
      </c>
    </row>
    <row r="112" spans="1:7" x14ac:dyDescent="0.2">
      <c r="A112" t="s">
        <v>9</v>
      </c>
      <c r="B112" s="91" t="s">
        <v>150</v>
      </c>
      <c r="C112" t="s">
        <v>144</v>
      </c>
      <c r="D112" t="s">
        <v>145</v>
      </c>
      <c r="E112" s="35">
        <v>2509760</v>
      </c>
      <c r="F112" s="1">
        <v>469</v>
      </c>
      <c r="G112">
        <f t="shared" si="4"/>
        <v>5351.3006396588489</v>
      </c>
    </row>
    <row r="113" spans="1:7" x14ac:dyDescent="0.2">
      <c r="A113" t="s">
        <v>9</v>
      </c>
      <c r="B113" s="91" t="s">
        <v>151</v>
      </c>
      <c r="C113" t="s">
        <v>144</v>
      </c>
      <c r="D113" t="s">
        <v>145</v>
      </c>
      <c r="E113" s="35">
        <v>2265300</v>
      </c>
      <c r="F113" s="1">
        <v>439</v>
      </c>
      <c r="G113">
        <f t="shared" si="4"/>
        <v>5160.1366742596811</v>
      </c>
    </row>
    <row r="114" spans="1:7" x14ac:dyDescent="0.2">
      <c r="A114" t="s">
        <v>9</v>
      </c>
      <c r="B114" s="91" t="s">
        <v>152</v>
      </c>
      <c r="C114" t="s">
        <v>153</v>
      </c>
      <c r="D114" t="s">
        <v>154</v>
      </c>
      <c r="E114" s="35">
        <v>2256780</v>
      </c>
      <c r="F114" s="1">
        <v>406</v>
      </c>
      <c r="G114">
        <f>E114/F114</f>
        <v>5558.5714285714284</v>
      </c>
    </row>
    <row r="115" spans="1:7" x14ac:dyDescent="0.2">
      <c r="A115" t="s">
        <v>9</v>
      </c>
      <c r="B115" s="91" t="s">
        <v>155</v>
      </c>
      <c r="C115" t="s">
        <v>153</v>
      </c>
      <c r="D115" t="s">
        <v>154</v>
      </c>
      <c r="E115" s="35">
        <v>2294580</v>
      </c>
      <c r="F115" s="1">
        <v>406</v>
      </c>
      <c r="G115">
        <f t="shared" ref="G115:G143" si="5">E115/F115</f>
        <v>5651.6748768472908</v>
      </c>
    </row>
    <row r="116" spans="1:7" x14ac:dyDescent="0.2">
      <c r="A116" t="s">
        <v>9</v>
      </c>
      <c r="B116" s="91" t="s">
        <v>156</v>
      </c>
      <c r="C116" t="s">
        <v>153</v>
      </c>
      <c r="D116" t="s">
        <v>154</v>
      </c>
      <c r="E116" s="35">
        <v>2294580</v>
      </c>
      <c r="F116" s="1">
        <v>406</v>
      </c>
      <c r="G116">
        <f t="shared" si="5"/>
        <v>5651.6748768472908</v>
      </c>
    </row>
    <row r="117" spans="1:7" x14ac:dyDescent="0.2">
      <c r="A117" t="s">
        <v>9</v>
      </c>
      <c r="B117" s="91" t="s">
        <v>157</v>
      </c>
      <c r="C117" t="s">
        <v>153</v>
      </c>
      <c r="D117" t="s">
        <v>154</v>
      </c>
      <c r="E117" s="35">
        <v>2390770</v>
      </c>
      <c r="F117" s="1">
        <v>406</v>
      </c>
      <c r="G117">
        <f t="shared" si="5"/>
        <v>5888.5960591133007</v>
      </c>
    </row>
    <row r="118" spans="1:7" x14ac:dyDescent="0.2">
      <c r="A118" t="s">
        <v>9</v>
      </c>
      <c r="B118" s="91" t="s">
        <v>158</v>
      </c>
      <c r="C118" t="s">
        <v>153</v>
      </c>
      <c r="D118" t="s">
        <v>154</v>
      </c>
      <c r="E118" s="35">
        <v>2857110</v>
      </c>
      <c r="F118" s="1">
        <v>475</v>
      </c>
      <c r="G118">
        <f t="shared" si="5"/>
        <v>6014.9684210526311</v>
      </c>
    </row>
    <row r="119" spans="1:7" x14ac:dyDescent="0.2">
      <c r="A119" t="s">
        <v>9</v>
      </c>
      <c r="B119" s="91" t="s">
        <v>159</v>
      </c>
      <c r="C119" t="s">
        <v>153</v>
      </c>
      <c r="D119" t="s">
        <v>154</v>
      </c>
      <c r="E119" s="35">
        <v>3160870</v>
      </c>
      <c r="F119" s="1">
        <v>540</v>
      </c>
      <c r="G119">
        <f t="shared" si="5"/>
        <v>5853.4629629629626</v>
      </c>
    </row>
    <row r="120" spans="1:7" x14ac:dyDescent="0.2">
      <c r="A120" t="s">
        <v>9</v>
      </c>
      <c r="B120" s="91" t="s">
        <v>160</v>
      </c>
      <c r="C120" t="s">
        <v>153</v>
      </c>
      <c r="D120" t="s">
        <v>154</v>
      </c>
      <c r="E120" s="35">
        <v>2250480</v>
      </c>
      <c r="F120" s="1">
        <v>401</v>
      </c>
      <c r="G120">
        <f t="shared" si="5"/>
        <v>5612.1695760598504</v>
      </c>
    </row>
    <row r="121" spans="1:7" x14ac:dyDescent="0.2">
      <c r="A121" t="s">
        <v>9</v>
      </c>
      <c r="B121" s="91" t="s">
        <v>161</v>
      </c>
      <c r="C121" t="s">
        <v>162</v>
      </c>
      <c r="D121" t="s">
        <v>163</v>
      </c>
      <c r="E121" s="35">
        <v>2383630</v>
      </c>
      <c r="F121" s="1">
        <v>420</v>
      </c>
      <c r="G121">
        <f t="shared" si="5"/>
        <v>5675.3095238095239</v>
      </c>
    </row>
    <row r="122" spans="1:7" x14ac:dyDescent="0.2">
      <c r="A122" t="s">
        <v>9</v>
      </c>
      <c r="B122" s="91" t="s">
        <v>164</v>
      </c>
      <c r="C122" t="s">
        <v>162</v>
      </c>
      <c r="D122" t="s">
        <v>163</v>
      </c>
      <c r="E122" s="35">
        <v>2383630</v>
      </c>
      <c r="F122" s="1">
        <v>420</v>
      </c>
      <c r="G122">
        <f t="shared" si="5"/>
        <v>5675.3095238095239</v>
      </c>
    </row>
    <row r="123" spans="1:7" x14ac:dyDescent="0.2">
      <c r="A123" t="s">
        <v>9</v>
      </c>
      <c r="B123" s="91" t="s">
        <v>165</v>
      </c>
      <c r="C123" t="s">
        <v>162</v>
      </c>
      <c r="D123" t="s">
        <v>163</v>
      </c>
      <c r="E123" s="35">
        <v>2383630</v>
      </c>
      <c r="F123" s="1">
        <v>420</v>
      </c>
      <c r="G123">
        <f t="shared" si="5"/>
        <v>5675.3095238095239</v>
      </c>
    </row>
    <row r="124" spans="1:7" x14ac:dyDescent="0.2">
      <c r="A124" t="s">
        <v>9</v>
      </c>
      <c r="B124" s="91" t="s">
        <v>166</v>
      </c>
      <c r="C124" t="s">
        <v>162</v>
      </c>
      <c r="D124" t="s">
        <v>163</v>
      </c>
      <c r="E124" s="35">
        <v>2853650</v>
      </c>
      <c r="F124" s="1">
        <v>464</v>
      </c>
      <c r="G124">
        <f t="shared" si="5"/>
        <v>6150.1077586206893</v>
      </c>
    </row>
    <row r="125" spans="1:7" x14ac:dyDescent="0.2">
      <c r="A125" t="s">
        <v>9</v>
      </c>
      <c r="B125" s="91" t="s">
        <v>167</v>
      </c>
      <c r="C125" t="s">
        <v>162</v>
      </c>
      <c r="D125" t="s">
        <v>163</v>
      </c>
      <c r="E125" s="35">
        <v>3229840</v>
      </c>
      <c r="F125" s="1">
        <v>523</v>
      </c>
      <c r="G125">
        <f t="shared" si="5"/>
        <v>6175.6022944550668</v>
      </c>
    </row>
    <row r="126" spans="1:7" x14ac:dyDescent="0.2">
      <c r="A126" t="s">
        <v>9</v>
      </c>
      <c r="B126" s="91" t="s">
        <v>168</v>
      </c>
      <c r="C126" t="s">
        <v>162</v>
      </c>
      <c r="D126" t="s">
        <v>163</v>
      </c>
      <c r="E126" s="35">
        <v>3746290</v>
      </c>
      <c r="F126" s="1">
        <v>592</v>
      </c>
      <c r="G126">
        <f t="shared" si="5"/>
        <v>6328.1925675675675</v>
      </c>
    </row>
    <row r="127" spans="1:7" x14ac:dyDescent="0.2">
      <c r="A127" t="s">
        <v>9</v>
      </c>
      <c r="B127" s="91" t="s">
        <v>169</v>
      </c>
      <c r="C127" t="s">
        <v>162</v>
      </c>
      <c r="D127" t="s">
        <v>163</v>
      </c>
      <c r="E127" s="35">
        <v>3047250</v>
      </c>
      <c r="F127" s="1">
        <v>483</v>
      </c>
      <c r="G127">
        <f t="shared" si="5"/>
        <v>6309.0062111801244</v>
      </c>
    </row>
    <row r="128" spans="1:7" x14ac:dyDescent="0.2">
      <c r="A128" t="s">
        <v>9</v>
      </c>
      <c r="B128" s="91" t="s">
        <v>170</v>
      </c>
      <c r="C128" t="s">
        <v>171</v>
      </c>
      <c r="D128" t="s">
        <v>172</v>
      </c>
      <c r="E128" s="35">
        <v>2396240</v>
      </c>
      <c r="F128" s="1">
        <v>410</v>
      </c>
      <c r="G128">
        <f t="shared" si="5"/>
        <v>5844.4878048780483</v>
      </c>
    </row>
    <row r="129" spans="1:7" x14ac:dyDescent="0.2">
      <c r="A129" t="s">
        <v>9</v>
      </c>
      <c r="B129" s="91" t="s">
        <v>173</v>
      </c>
      <c r="C129" t="s">
        <v>171</v>
      </c>
      <c r="D129" t="s">
        <v>172</v>
      </c>
      <c r="E129" s="35">
        <v>2215900</v>
      </c>
      <c r="F129" s="1">
        <v>396</v>
      </c>
      <c r="G129">
        <f t="shared" si="5"/>
        <v>5595.7070707070707</v>
      </c>
    </row>
    <row r="130" spans="1:7" x14ac:dyDescent="0.2">
      <c r="A130" t="s">
        <v>9</v>
      </c>
      <c r="B130" s="91" t="s">
        <v>174</v>
      </c>
      <c r="C130" t="s">
        <v>171</v>
      </c>
      <c r="D130" t="s">
        <v>172</v>
      </c>
      <c r="E130" s="35">
        <v>2215900</v>
      </c>
      <c r="F130" s="1">
        <v>396</v>
      </c>
      <c r="G130">
        <f t="shared" si="5"/>
        <v>5595.7070707070707</v>
      </c>
    </row>
    <row r="131" spans="1:7" x14ac:dyDescent="0.2">
      <c r="A131" t="s">
        <v>9</v>
      </c>
      <c r="B131" s="91" t="s">
        <v>175</v>
      </c>
      <c r="C131" t="s">
        <v>171</v>
      </c>
      <c r="D131" t="s">
        <v>172</v>
      </c>
      <c r="E131" s="35">
        <v>2316790</v>
      </c>
      <c r="F131" s="1">
        <v>398</v>
      </c>
      <c r="G131">
        <f t="shared" si="5"/>
        <v>5821.0804020100504</v>
      </c>
    </row>
    <row r="132" spans="1:7" x14ac:dyDescent="0.2">
      <c r="A132" t="s">
        <v>9</v>
      </c>
      <c r="B132" s="91" t="s">
        <v>176</v>
      </c>
      <c r="C132" t="s">
        <v>171</v>
      </c>
      <c r="D132" t="s">
        <v>172</v>
      </c>
      <c r="E132" s="35">
        <v>2818380</v>
      </c>
      <c r="F132" s="1">
        <v>474</v>
      </c>
      <c r="G132">
        <f t="shared" si="5"/>
        <v>5945.9493670886077</v>
      </c>
    </row>
    <row r="133" spans="1:7" x14ac:dyDescent="0.2">
      <c r="A133" t="s">
        <v>9</v>
      </c>
      <c r="B133" s="91" t="s">
        <v>177</v>
      </c>
      <c r="C133" t="s">
        <v>171</v>
      </c>
      <c r="D133" t="s">
        <v>172</v>
      </c>
      <c r="E133" s="35">
        <v>2988890</v>
      </c>
      <c r="F133" s="1">
        <v>520</v>
      </c>
      <c r="G133">
        <f t="shared" si="5"/>
        <v>5747.8653846153848</v>
      </c>
    </row>
    <row r="134" spans="1:7" x14ac:dyDescent="0.2">
      <c r="A134" t="s">
        <v>9</v>
      </c>
      <c r="B134" s="91" t="s">
        <v>178</v>
      </c>
      <c r="C134" t="s">
        <v>171</v>
      </c>
      <c r="D134" t="s">
        <v>172</v>
      </c>
      <c r="E134" s="35">
        <v>2219900</v>
      </c>
      <c r="F134" s="1">
        <v>398</v>
      </c>
      <c r="G134">
        <f t="shared" si="5"/>
        <v>5577.6381909547736</v>
      </c>
    </row>
    <row r="135" spans="1:7" x14ac:dyDescent="0.2">
      <c r="A135" t="s">
        <v>9</v>
      </c>
      <c r="B135" s="91" t="s">
        <v>179</v>
      </c>
      <c r="C135" t="s">
        <v>180</v>
      </c>
      <c r="D135" t="s">
        <v>181</v>
      </c>
      <c r="E135" s="35">
        <v>2215900</v>
      </c>
      <c r="F135" s="1">
        <v>396</v>
      </c>
      <c r="G135">
        <f t="shared" si="5"/>
        <v>5595.7070707070707</v>
      </c>
    </row>
    <row r="136" spans="1:7" x14ac:dyDescent="0.2">
      <c r="A136" t="s">
        <v>9</v>
      </c>
      <c r="B136" s="91" t="s">
        <v>182</v>
      </c>
      <c r="C136" t="s">
        <v>180</v>
      </c>
      <c r="D136" t="s">
        <v>181</v>
      </c>
      <c r="E136" s="35">
        <v>2215900</v>
      </c>
      <c r="F136" s="1">
        <v>396</v>
      </c>
      <c r="G136">
        <f t="shared" si="5"/>
        <v>5595.7070707070707</v>
      </c>
    </row>
    <row r="137" spans="1:7" x14ac:dyDescent="0.2">
      <c r="A137" t="s">
        <v>9</v>
      </c>
      <c r="B137" s="91" t="s">
        <v>191</v>
      </c>
      <c r="C137" t="s">
        <v>180</v>
      </c>
      <c r="D137" t="s">
        <v>181</v>
      </c>
      <c r="E137" s="35">
        <v>2215900</v>
      </c>
      <c r="F137" s="1">
        <v>396</v>
      </c>
      <c r="G137">
        <f t="shared" si="5"/>
        <v>5595.7070707070707</v>
      </c>
    </row>
    <row r="138" spans="1:7" x14ac:dyDescent="0.2">
      <c r="A138" t="s">
        <v>9</v>
      </c>
      <c r="B138" s="91" t="s">
        <v>192</v>
      </c>
      <c r="C138" t="s">
        <v>180</v>
      </c>
      <c r="D138" t="s">
        <v>181</v>
      </c>
      <c r="E138" s="35">
        <v>2383670</v>
      </c>
      <c r="F138" s="1">
        <v>404</v>
      </c>
      <c r="G138">
        <f t="shared" si="5"/>
        <v>5900.1732673267325</v>
      </c>
    </row>
    <row r="139" spans="1:7" x14ac:dyDescent="0.2">
      <c r="A139" t="s">
        <v>9</v>
      </c>
      <c r="B139" s="91" t="s">
        <v>193</v>
      </c>
      <c r="C139" t="s">
        <v>180</v>
      </c>
      <c r="D139" t="s">
        <v>181</v>
      </c>
      <c r="E139" s="35">
        <v>2950020</v>
      </c>
      <c r="F139" s="1">
        <v>489</v>
      </c>
      <c r="G139">
        <f t="shared" si="5"/>
        <v>6032.7607361963192</v>
      </c>
    </row>
    <row r="140" spans="1:7" x14ac:dyDescent="0.2">
      <c r="A140" t="s">
        <v>9</v>
      </c>
      <c r="B140" s="91" t="s">
        <v>194</v>
      </c>
      <c r="C140" t="s">
        <v>180</v>
      </c>
      <c r="D140" t="s">
        <v>181</v>
      </c>
      <c r="E140" s="35">
        <v>3187870</v>
      </c>
      <c r="F140" s="1">
        <v>545</v>
      </c>
      <c r="G140">
        <f t="shared" si="5"/>
        <v>5849.3027522935781</v>
      </c>
    </row>
    <row r="141" spans="1:7" x14ac:dyDescent="0.2">
      <c r="A141" t="s">
        <v>9</v>
      </c>
      <c r="B141" s="91" t="s">
        <v>195</v>
      </c>
      <c r="C141" t="s">
        <v>180</v>
      </c>
      <c r="D141" t="s">
        <v>181</v>
      </c>
      <c r="E141" s="35">
        <v>2268500</v>
      </c>
      <c r="F141" s="1">
        <v>404</v>
      </c>
      <c r="G141">
        <f t="shared" si="5"/>
        <v>5615.0990099009905</v>
      </c>
    </row>
    <row r="142" spans="1:7" x14ac:dyDescent="0.2">
      <c r="A142" t="s">
        <v>9</v>
      </c>
      <c r="B142" s="91" t="s">
        <v>196</v>
      </c>
      <c r="C142" t="s">
        <v>197</v>
      </c>
      <c r="D142" t="s">
        <v>198</v>
      </c>
      <c r="E142" s="35">
        <v>2259460</v>
      </c>
      <c r="F142" s="1">
        <v>399</v>
      </c>
      <c r="G142">
        <f t="shared" si="5"/>
        <v>5662.8070175438597</v>
      </c>
    </row>
    <row r="143" spans="1:7" x14ac:dyDescent="0.2">
      <c r="A143" t="s">
        <v>9</v>
      </c>
      <c r="B143" s="91" t="s">
        <v>199</v>
      </c>
      <c r="C143" t="s">
        <v>197</v>
      </c>
      <c r="D143" t="s">
        <v>198</v>
      </c>
      <c r="E143" s="35">
        <v>2231860</v>
      </c>
      <c r="F143" s="1">
        <v>394</v>
      </c>
      <c r="G143">
        <f t="shared" si="5"/>
        <v>5664.6192893401012</v>
      </c>
    </row>
    <row r="144" spans="1:7" x14ac:dyDescent="0.2">
      <c r="A144" t="s">
        <v>9</v>
      </c>
      <c r="B144" s="91">
        <v>45890</v>
      </c>
      <c r="C144" t="s">
        <v>197</v>
      </c>
      <c r="D144" t="s">
        <v>198</v>
      </c>
      <c r="E144" s="35">
        <v>1919120</v>
      </c>
      <c r="F144">
        <v>342</v>
      </c>
      <c r="G144" s="90">
        <v>5611.4619883040932</v>
      </c>
    </row>
    <row r="145" spans="1:7" x14ac:dyDescent="0.2">
      <c r="A145" t="s">
        <v>9</v>
      </c>
      <c r="B145" s="91">
        <v>45891</v>
      </c>
      <c r="C145" t="s">
        <v>197</v>
      </c>
      <c r="D145" t="s">
        <v>198</v>
      </c>
      <c r="E145" s="35">
        <v>1929380</v>
      </c>
      <c r="F145">
        <v>344</v>
      </c>
      <c r="G145" s="90">
        <v>5608.6627906976746</v>
      </c>
    </row>
    <row r="146" spans="1:7" x14ac:dyDescent="0.2">
      <c r="A146" t="s">
        <v>9</v>
      </c>
      <c r="B146" s="91">
        <v>45892</v>
      </c>
      <c r="C146" t="s">
        <v>197</v>
      </c>
      <c r="D146" t="s">
        <v>198</v>
      </c>
      <c r="E146" s="35">
        <v>2497330</v>
      </c>
      <c r="F146">
        <v>439</v>
      </c>
      <c r="G146" s="90">
        <v>5688.6788154897495</v>
      </c>
    </row>
    <row r="147" spans="1:7" x14ac:dyDescent="0.2">
      <c r="A147" t="s">
        <v>9</v>
      </c>
      <c r="B147" s="91">
        <v>45893</v>
      </c>
      <c r="C147" t="s">
        <v>197</v>
      </c>
      <c r="D147" t="s">
        <v>198</v>
      </c>
      <c r="E147" s="35">
        <v>2694490</v>
      </c>
      <c r="F147">
        <v>482</v>
      </c>
      <c r="G147" s="90">
        <v>5590.2282157676345</v>
      </c>
    </row>
    <row r="148" spans="1:7" x14ac:dyDescent="0.2">
      <c r="A148" t="s">
        <v>9</v>
      </c>
      <c r="B148" s="91">
        <v>45894</v>
      </c>
      <c r="C148" t="s">
        <v>197</v>
      </c>
      <c r="D148" t="s">
        <v>198</v>
      </c>
      <c r="E148" s="35">
        <v>1897620</v>
      </c>
      <c r="F148">
        <v>337</v>
      </c>
      <c r="G148" s="90">
        <v>5630.9198813056382</v>
      </c>
    </row>
    <row r="149" spans="1:7" x14ac:dyDescent="0.2">
      <c r="A149" t="s">
        <v>9</v>
      </c>
      <c r="B149" s="91">
        <v>45895</v>
      </c>
      <c r="C149" t="s">
        <v>200</v>
      </c>
      <c r="D149" t="s">
        <v>201</v>
      </c>
      <c r="E149" s="35">
        <v>1898970</v>
      </c>
      <c r="F149">
        <v>338</v>
      </c>
      <c r="G149" s="90">
        <v>5618.2544378698221</v>
      </c>
    </row>
    <row r="150" spans="1:7" x14ac:dyDescent="0.2">
      <c r="A150" t="s">
        <v>9</v>
      </c>
      <c r="B150" s="91">
        <v>45896</v>
      </c>
      <c r="C150" t="s">
        <v>200</v>
      </c>
      <c r="D150" t="s">
        <v>201</v>
      </c>
      <c r="E150" s="35">
        <v>1882140</v>
      </c>
      <c r="F150">
        <v>338</v>
      </c>
      <c r="G150" s="90">
        <v>5568.4615384615381</v>
      </c>
    </row>
    <row r="151" spans="1:7" x14ac:dyDescent="0.2">
      <c r="A151" t="s">
        <v>9</v>
      </c>
      <c r="B151" s="91">
        <v>45897</v>
      </c>
      <c r="C151" t="s">
        <v>200</v>
      </c>
      <c r="D151" t="s">
        <v>201</v>
      </c>
      <c r="E151" s="35">
        <v>1930640</v>
      </c>
      <c r="F151">
        <v>345</v>
      </c>
      <c r="G151" s="90">
        <v>5596.057971014493</v>
      </c>
    </row>
    <row r="152" spans="1:7" x14ac:dyDescent="0.2">
      <c r="A152" t="s">
        <v>9</v>
      </c>
      <c r="B152" s="91">
        <v>45898</v>
      </c>
      <c r="C152" t="s">
        <v>200</v>
      </c>
      <c r="D152" t="s">
        <v>201</v>
      </c>
      <c r="E152" s="35">
        <v>1930640</v>
      </c>
      <c r="F152">
        <v>345</v>
      </c>
      <c r="G152" s="90">
        <v>5596.057971014493</v>
      </c>
    </row>
    <row r="153" spans="1:7" x14ac:dyDescent="0.2">
      <c r="A153" t="s">
        <v>9</v>
      </c>
      <c r="B153" s="91">
        <v>45899</v>
      </c>
      <c r="C153" t="s">
        <v>200</v>
      </c>
      <c r="D153" t="s">
        <v>201</v>
      </c>
      <c r="E153" s="35">
        <v>2555200</v>
      </c>
      <c r="F153">
        <v>444</v>
      </c>
      <c r="G153" s="90">
        <v>5754.9549549549547</v>
      </c>
    </row>
    <row r="154" spans="1:7" x14ac:dyDescent="0.2">
      <c r="A154" t="s">
        <v>9</v>
      </c>
      <c r="B154" s="91">
        <v>45900</v>
      </c>
      <c r="C154" t="s">
        <v>200</v>
      </c>
      <c r="D154" t="s">
        <v>201</v>
      </c>
      <c r="E154" s="35">
        <v>2819950</v>
      </c>
      <c r="F154">
        <v>499</v>
      </c>
      <c r="G154" s="90">
        <v>5651.2024048096191</v>
      </c>
    </row>
    <row r="155" spans="1:7" x14ac:dyDescent="0.2">
      <c r="A155" t="s">
        <v>9</v>
      </c>
      <c r="B155" s="91">
        <v>45901</v>
      </c>
      <c r="C155" t="s">
        <v>200</v>
      </c>
      <c r="D155" t="s">
        <v>201</v>
      </c>
      <c r="E155" s="35">
        <v>2057710</v>
      </c>
      <c r="F155">
        <v>355</v>
      </c>
      <c r="G155" s="90">
        <v>5796.3661971830988</v>
      </c>
    </row>
    <row r="156" spans="1:7" x14ac:dyDescent="0.2">
      <c r="A156" t="s">
        <v>9</v>
      </c>
      <c r="B156" s="91">
        <v>45902</v>
      </c>
      <c r="C156" t="s">
        <v>202</v>
      </c>
      <c r="D156" t="s">
        <v>203</v>
      </c>
      <c r="E156" s="35">
        <v>2053660</v>
      </c>
      <c r="F156">
        <v>355</v>
      </c>
      <c r="G156" s="90">
        <v>5784.9577464788736</v>
      </c>
    </row>
    <row r="157" spans="1:7" x14ac:dyDescent="0.2">
      <c r="A157" t="s">
        <v>9</v>
      </c>
      <c r="B157" s="91">
        <v>45903</v>
      </c>
      <c r="C157" t="s">
        <v>202</v>
      </c>
      <c r="D157" t="s">
        <v>203</v>
      </c>
      <c r="E157" s="35">
        <v>2057620</v>
      </c>
      <c r="F157">
        <v>355</v>
      </c>
      <c r="G157" s="90">
        <v>5796.1126760563384</v>
      </c>
    </row>
    <row r="158" spans="1:7" x14ac:dyDescent="0.2">
      <c r="A158" t="s">
        <v>9</v>
      </c>
      <c r="B158" s="91">
        <v>45904</v>
      </c>
      <c r="C158" t="s">
        <v>202</v>
      </c>
      <c r="D158" t="s">
        <v>203</v>
      </c>
      <c r="E158" s="35">
        <v>2062740</v>
      </c>
      <c r="F158">
        <v>357</v>
      </c>
      <c r="G158" s="90">
        <v>5777.9831932773113</v>
      </c>
    </row>
    <row r="159" spans="1:7" x14ac:dyDescent="0.2">
      <c r="A159" t="s">
        <v>9</v>
      </c>
      <c r="B159" s="91">
        <v>45905</v>
      </c>
      <c r="C159" t="s">
        <v>202</v>
      </c>
      <c r="D159" t="s">
        <v>203</v>
      </c>
      <c r="E159" s="35">
        <v>1894180</v>
      </c>
      <c r="F159">
        <v>341</v>
      </c>
      <c r="G159" s="90">
        <v>5554.7800586510266</v>
      </c>
    </row>
    <row r="160" spans="1:7" x14ac:dyDescent="0.2">
      <c r="A160" t="s">
        <v>9</v>
      </c>
      <c r="B160" s="91">
        <v>45906</v>
      </c>
      <c r="C160" t="s">
        <v>202</v>
      </c>
      <c r="D160" t="s">
        <v>203</v>
      </c>
      <c r="E160" s="35">
        <v>2486560</v>
      </c>
      <c r="F160">
        <v>439</v>
      </c>
      <c r="G160" s="90">
        <v>5664.1457858769936</v>
      </c>
    </row>
    <row r="161" spans="1:7" x14ac:dyDescent="0.2">
      <c r="A161" t="s">
        <v>9</v>
      </c>
      <c r="B161" s="91">
        <v>45907</v>
      </c>
      <c r="C161" t="s">
        <v>202</v>
      </c>
      <c r="D161" t="s">
        <v>203</v>
      </c>
      <c r="E161" s="35">
        <v>2719870</v>
      </c>
      <c r="F161">
        <v>490</v>
      </c>
      <c r="G161" s="90">
        <v>5550.7551020408164</v>
      </c>
    </row>
    <row r="162" spans="1:7" x14ac:dyDescent="0.2">
      <c r="A162" t="s">
        <v>9</v>
      </c>
      <c r="B162" s="91">
        <v>45908</v>
      </c>
      <c r="C162" t="s">
        <v>202</v>
      </c>
      <c r="D162" t="s">
        <v>203</v>
      </c>
      <c r="E162" s="35">
        <v>1896620</v>
      </c>
      <c r="F162">
        <v>340</v>
      </c>
      <c r="G162" s="90">
        <v>5578.2941176470586</v>
      </c>
    </row>
    <row r="163" spans="1:7" x14ac:dyDescent="0.2">
      <c r="A163" t="s">
        <v>9</v>
      </c>
      <c r="B163" s="91">
        <v>45909</v>
      </c>
      <c r="C163" t="s">
        <v>204</v>
      </c>
      <c r="D163" t="s">
        <v>205</v>
      </c>
      <c r="E163" s="35">
        <v>1903370</v>
      </c>
      <c r="F163">
        <v>342</v>
      </c>
      <c r="G163" s="90">
        <v>5565.4093567251466</v>
      </c>
    </row>
    <row r="164" spans="1:7" x14ac:dyDescent="0.2">
      <c r="A164" t="s">
        <v>9</v>
      </c>
      <c r="B164" s="91">
        <v>45910</v>
      </c>
      <c r="C164" t="s">
        <v>204</v>
      </c>
      <c r="D164" t="s">
        <v>205</v>
      </c>
      <c r="E164" s="35">
        <v>1892180</v>
      </c>
      <c r="F164">
        <v>340</v>
      </c>
      <c r="G164" s="90">
        <v>5565.2352941176468</v>
      </c>
    </row>
    <row r="165" spans="1:7" x14ac:dyDescent="0.2">
      <c r="A165" t="s">
        <v>9</v>
      </c>
      <c r="B165" s="91">
        <v>45911</v>
      </c>
      <c r="C165" t="s">
        <v>204</v>
      </c>
      <c r="D165" t="s">
        <v>205</v>
      </c>
      <c r="E165" s="35">
        <v>1932040</v>
      </c>
      <c r="F165">
        <v>345</v>
      </c>
      <c r="G165" s="90">
        <v>5600.115942028986</v>
      </c>
    </row>
    <row r="166" spans="1:7" x14ac:dyDescent="0.2">
      <c r="A166" t="s">
        <v>9</v>
      </c>
      <c r="B166" s="91">
        <v>45912</v>
      </c>
      <c r="C166" t="s">
        <v>204</v>
      </c>
      <c r="D166" t="s">
        <v>205</v>
      </c>
      <c r="E166" s="35">
        <v>1932040</v>
      </c>
      <c r="F166">
        <v>345</v>
      </c>
      <c r="G166" s="90">
        <v>5600.115942028986</v>
      </c>
    </row>
    <row r="167" spans="1:7" x14ac:dyDescent="0.2">
      <c r="A167" t="s">
        <v>9</v>
      </c>
      <c r="B167" s="91">
        <v>45913</v>
      </c>
      <c r="C167" t="s">
        <v>204</v>
      </c>
      <c r="D167" t="s">
        <v>205</v>
      </c>
      <c r="E167" s="35">
        <v>2415700</v>
      </c>
      <c r="F167">
        <v>428</v>
      </c>
      <c r="G167" s="90">
        <v>5644.1588785046733</v>
      </c>
    </row>
    <row r="168" spans="1:7" x14ac:dyDescent="0.2">
      <c r="A168" t="s">
        <v>9</v>
      </c>
      <c r="B168" s="91">
        <v>45914</v>
      </c>
      <c r="C168" t="s">
        <v>204</v>
      </c>
      <c r="D168" t="s">
        <v>205</v>
      </c>
      <c r="E168" s="35">
        <v>2546920</v>
      </c>
      <c r="F168">
        <v>455</v>
      </c>
      <c r="G168" s="90">
        <v>5597.6263736263736</v>
      </c>
    </row>
    <row r="169" spans="1:7" x14ac:dyDescent="0.2">
      <c r="A169" t="s">
        <v>9</v>
      </c>
      <c r="B169" s="91">
        <v>45915</v>
      </c>
      <c r="C169" t="s">
        <v>204</v>
      </c>
      <c r="D169" t="s">
        <v>205</v>
      </c>
      <c r="E169" s="35">
        <v>2793920</v>
      </c>
      <c r="F169">
        <v>507</v>
      </c>
      <c r="G169" s="90">
        <v>5510.6903353057196</v>
      </c>
    </row>
    <row r="170" spans="1:7" x14ac:dyDescent="0.2">
      <c r="A170" t="s">
        <v>9</v>
      </c>
      <c r="B170" s="91">
        <v>45916</v>
      </c>
      <c r="E170" s="35">
        <v>1861660</v>
      </c>
      <c r="F170">
        <v>337</v>
      </c>
      <c r="G170" s="90">
        <v>5524.213649851632</v>
      </c>
    </row>
    <row r="171" spans="1:7" x14ac:dyDescent="0.2">
      <c r="A171" t="s">
        <v>9</v>
      </c>
      <c r="B171" s="91">
        <v>45917</v>
      </c>
      <c r="E171" s="35">
        <v>1847950</v>
      </c>
      <c r="F171">
        <v>333</v>
      </c>
      <c r="G171" s="90">
        <v>5549.399399399399</v>
      </c>
    </row>
    <row r="172" spans="1:7" x14ac:dyDescent="0.2">
      <c r="A172" t="s">
        <v>9</v>
      </c>
      <c r="B172" s="91">
        <v>45918</v>
      </c>
      <c r="E172" s="35">
        <v>1888650</v>
      </c>
      <c r="F172">
        <v>338</v>
      </c>
      <c r="G172" s="90">
        <v>5587.7218934911243</v>
      </c>
    </row>
    <row r="173" spans="1:7" x14ac:dyDescent="0.2">
      <c r="A173" t="s">
        <v>188</v>
      </c>
      <c r="B173" s="91" t="s">
        <v>19</v>
      </c>
      <c r="C173" t="s">
        <v>20</v>
      </c>
      <c r="D173" t="s">
        <v>21</v>
      </c>
      <c r="E173" s="35">
        <v>2021958.2717781467</v>
      </c>
      <c r="F173" s="1">
        <v>742</v>
      </c>
      <c r="G173">
        <v>2398.0098101951066</v>
      </c>
    </row>
    <row r="174" spans="1:7" x14ac:dyDescent="0.2">
      <c r="A174" t="s">
        <v>188</v>
      </c>
      <c r="B174" s="91" t="s">
        <v>22</v>
      </c>
      <c r="C174" t="s">
        <v>20</v>
      </c>
      <c r="D174" t="s">
        <v>21</v>
      </c>
      <c r="E174" s="35">
        <v>2009642.0303426154</v>
      </c>
      <c r="F174" s="1">
        <v>728</v>
      </c>
      <c r="G174">
        <v>2429.2376190954692</v>
      </c>
    </row>
    <row r="175" spans="1:7" x14ac:dyDescent="0.2">
      <c r="A175" t="s">
        <v>188</v>
      </c>
      <c r="B175" s="91" t="s">
        <v>23</v>
      </c>
      <c r="C175" t="s">
        <v>20</v>
      </c>
      <c r="D175" t="s">
        <v>21</v>
      </c>
      <c r="E175" s="35">
        <v>1931697.0177983141</v>
      </c>
      <c r="F175" s="1">
        <v>702</v>
      </c>
      <c r="G175">
        <v>2421.5005351317895</v>
      </c>
    </row>
    <row r="176" spans="1:7" x14ac:dyDescent="0.2">
      <c r="A176" t="s">
        <v>188</v>
      </c>
      <c r="B176" s="91" t="s">
        <v>24</v>
      </c>
      <c r="C176" t="s">
        <v>20</v>
      </c>
      <c r="D176" t="s">
        <v>21</v>
      </c>
      <c r="E176" s="35">
        <v>1819162.1247422057</v>
      </c>
      <c r="F176" s="1">
        <v>626</v>
      </c>
      <c r="G176">
        <v>2557.2886098612476</v>
      </c>
    </row>
    <row r="177" spans="1:7" x14ac:dyDescent="0.2">
      <c r="A177" t="s">
        <v>188</v>
      </c>
      <c r="B177" s="91" t="s">
        <v>25</v>
      </c>
      <c r="C177" t="s">
        <v>20</v>
      </c>
      <c r="D177" t="s">
        <v>21</v>
      </c>
      <c r="E177" s="35">
        <v>1891664.2245602384</v>
      </c>
      <c r="F177" s="1">
        <v>723</v>
      </c>
      <c r="G177">
        <v>2302.440549948838</v>
      </c>
    </row>
    <row r="178" spans="1:7" x14ac:dyDescent="0.2">
      <c r="A178" t="s">
        <v>188</v>
      </c>
      <c r="B178" s="91" t="s">
        <v>26</v>
      </c>
      <c r="C178" t="s">
        <v>20</v>
      </c>
      <c r="D178" t="s">
        <v>21</v>
      </c>
      <c r="E178" s="35">
        <v>2163345.3180227252</v>
      </c>
      <c r="F178" s="1">
        <v>766</v>
      </c>
      <c r="G178">
        <v>2485.3053261879872</v>
      </c>
    </row>
    <row r="179" spans="1:7" x14ac:dyDescent="0.2">
      <c r="A179" t="s">
        <v>188</v>
      </c>
      <c r="B179" s="91" t="s">
        <v>27</v>
      </c>
      <c r="C179" t="s">
        <v>20</v>
      </c>
      <c r="D179" t="s">
        <v>21</v>
      </c>
      <c r="E179" s="35">
        <v>1677745.7211247687</v>
      </c>
      <c r="F179" s="1">
        <v>673</v>
      </c>
      <c r="G179">
        <v>2193.7834094944969</v>
      </c>
    </row>
    <row r="180" spans="1:7" x14ac:dyDescent="0.2">
      <c r="A180" t="s">
        <v>188</v>
      </c>
      <c r="B180" s="91" t="s">
        <v>28</v>
      </c>
      <c r="C180" t="s">
        <v>29</v>
      </c>
      <c r="D180" t="s">
        <v>30</v>
      </c>
      <c r="E180" s="35">
        <v>1723326.7751607248</v>
      </c>
      <c r="F180" s="1">
        <v>649</v>
      </c>
      <c r="G180">
        <v>2336.714271404373</v>
      </c>
    </row>
    <row r="181" spans="1:7" x14ac:dyDescent="0.2">
      <c r="A181" t="s">
        <v>188</v>
      </c>
      <c r="B181" s="91" t="s">
        <v>31</v>
      </c>
      <c r="C181" t="s">
        <v>29</v>
      </c>
      <c r="D181" t="s">
        <v>30</v>
      </c>
      <c r="E181" s="35">
        <v>1375760.6890081041</v>
      </c>
      <c r="F181" s="1">
        <v>659</v>
      </c>
      <c r="G181">
        <v>1837.1311173401086</v>
      </c>
    </row>
    <row r="182" spans="1:7" x14ac:dyDescent="0.2">
      <c r="A182" t="s">
        <v>188</v>
      </c>
      <c r="B182" s="91" t="s">
        <v>32</v>
      </c>
      <c r="C182" t="s">
        <v>29</v>
      </c>
      <c r="D182" t="s">
        <v>30</v>
      </c>
      <c r="E182" s="35">
        <v>1423921.2416503713</v>
      </c>
      <c r="F182" s="1">
        <v>590</v>
      </c>
      <c r="G182">
        <v>2123.8147333090287</v>
      </c>
    </row>
    <row r="183" spans="1:7" x14ac:dyDescent="0.2">
      <c r="A183" t="s">
        <v>188</v>
      </c>
      <c r="B183" s="91" t="s">
        <v>33</v>
      </c>
      <c r="C183" t="s">
        <v>29</v>
      </c>
      <c r="D183" t="s">
        <v>30</v>
      </c>
      <c r="E183" s="35">
        <v>1411198.55106497</v>
      </c>
      <c r="F183" s="1">
        <v>514</v>
      </c>
      <c r="G183">
        <v>2416.0597761423614</v>
      </c>
    </row>
    <row r="184" spans="1:7" x14ac:dyDescent="0.2">
      <c r="A184" t="s">
        <v>188</v>
      </c>
      <c r="B184" s="91" t="s">
        <v>34</v>
      </c>
      <c r="C184" t="s">
        <v>29</v>
      </c>
      <c r="D184" t="s">
        <v>30</v>
      </c>
      <c r="E184" s="35">
        <v>1640219.8421758558</v>
      </c>
      <c r="F184" s="1">
        <v>569</v>
      </c>
      <c r="G184">
        <v>2536.7196153159107</v>
      </c>
    </row>
    <row r="185" spans="1:7" x14ac:dyDescent="0.2">
      <c r="A185" t="s">
        <v>188</v>
      </c>
      <c r="B185" s="91" t="s">
        <v>35</v>
      </c>
      <c r="C185" t="s">
        <v>29</v>
      </c>
      <c r="D185" t="s">
        <v>30</v>
      </c>
      <c r="E185" s="35">
        <v>1482740.4559187361</v>
      </c>
      <c r="F185" s="1">
        <v>604</v>
      </c>
      <c r="G185">
        <v>2160.2841079610726</v>
      </c>
    </row>
    <row r="186" spans="1:7" x14ac:dyDescent="0.2">
      <c r="A186" t="s">
        <v>188</v>
      </c>
      <c r="B186" s="91" t="s">
        <v>36</v>
      </c>
      <c r="C186" t="s">
        <v>29</v>
      </c>
      <c r="D186" t="s">
        <v>30</v>
      </c>
      <c r="E186" s="35">
        <v>1371753.8050216704</v>
      </c>
      <c r="F186" s="1">
        <v>918.36363636363637</v>
      </c>
      <c r="G186">
        <v>1493.693511704452</v>
      </c>
    </row>
    <row r="187" spans="1:7" x14ac:dyDescent="0.2">
      <c r="A187" t="s">
        <v>188</v>
      </c>
      <c r="B187" s="91" t="s">
        <v>37</v>
      </c>
      <c r="C187" t="s">
        <v>38</v>
      </c>
      <c r="D187" t="s">
        <v>39</v>
      </c>
      <c r="E187" s="35">
        <v>1204680.920039166</v>
      </c>
      <c r="F187" s="1">
        <v>774.81818181818176</v>
      </c>
      <c r="G187">
        <v>1554.7917541277516</v>
      </c>
    </row>
    <row r="188" spans="1:7" x14ac:dyDescent="0.2">
      <c r="A188" t="s">
        <v>188</v>
      </c>
      <c r="B188" s="91" t="s">
        <v>40</v>
      </c>
      <c r="C188" t="s">
        <v>38</v>
      </c>
      <c r="D188" t="s">
        <v>39</v>
      </c>
      <c r="E188" s="35">
        <v>1181102.323910207</v>
      </c>
      <c r="F188" s="1">
        <v>730.77272727272725</v>
      </c>
      <c r="G188">
        <v>1616.2375521567801</v>
      </c>
    </row>
    <row r="189" spans="1:7" x14ac:dyDescent="0.2">
      <c r="A189" t="s">
        <v>188</v>
      </c>
      <c r="B189" s="91" t="s">
        <v>41</v>
      </c>
      <c r="C189" t="s">
        <v>38</v>
      </c>
      <c r="D189" t="s">
        <v>39</v>
      </c>
      <c r="E189" s="35">
        <v>1198939.9947841684</v>
      </c>
      <c r="F189" s="1">
        <v>694.13636363636363</v>
      </c>
      <c r="G189">
        <v>1727.2398588993324</v>
      </c>
    </row>
    <row r="190" spans="1:7" x14ac:dyDescent="0.2">
      <c r="A190" t="s">
        <v>188</v>
      </c>
      <c r="B190" s="91" t="s">
        <v>42</v>
      </c>
      <c r="C190" t="s">
        <v>38</v>
      </c>
      <c r="D190" t="s">
        <v>39</v>
      </c>
      <c r="E190" s="35">
        <v>1395762.2772522955</v>
      </c>
      <c r="F190" s="1">
        <v>753.59090909090901</v>
      </c>
      <c r="G190">
        <v>1852.1485071204841</v>
      </c>
    </row>
    <row r="191" spans="1:7" x14ac:dyDescent="0.2">
      <c r="A191" t="s">
        <v>188</v>
      </c>
      <c r="B191" s="91" t="s">
        <v>43</v>
      </c>
      <c r="C191" t="s">
        <v>38</v>
      </c>
      <c r="D191" t="s">
        <v>39</v>
      </c>
      <c r="E191" s="35">
        <v>1324606.186296223</v>
      </c>
      <c r="F191" s="1">
        <v>727.63636363636363</v>
      </c>
      <c r="G191">
        <v>1820.4232945100516</v>
      </c>
    </row>
    <row r="192" spans="1:7" x14ac:dyDescent="0.2">
      <c r="A192" t="s">
        <v>188</v>
      </c>
      <c r="B192" s="91" t="s">
        <v>44</v>
      </c>
      <c r="C192" t="s">
        <v>38</v>
      </c>
      <c r="D192" t="s">
        <v>39</v>
      </c>
      <c r="E192" s="35">
        <v>1394285.6234901962</v>
      </c>
      <c r="F192" s="1">
        <v>727.9545454545455</v>
      </c>
      <c r="G192">
        <v>1915.3470943980215</v>
      </c>
    </row>
    <row r="193" spans="1:7" x14ac:dyDescent="0.2">
      <c r="A193" t="s">
        <v>188</v>
      </c>
      <c r="B193" s="91" t="s">
        <v>45</v>
      </c>
      <c r="C193" t="s">
        <v>38</v>
      </c>
      <c r="D193" t="s">
        <v>39</v>
      </c>
      <c r="E193" s="35">
        <v>1271978.2408489899</v>
      </c>
      <c r="F193" s="1">
        <v>701.22727272727275</v>
      </c>
      <c r="G193">
        <v>1813.9315031229519</v>
      </c>
    </row>
    <row r="194" spans="1:7" x14ac:dyDescent="0.2">
      <c r="A194" t="s">
        <v>188</v>
      </c>
      <c r="B194" s="91" t="s">
        <v>46</v>
      </c>
      <c r="C194" t="s">
        <v>47</v>
      </c>
      <c r="D194" t="s">
        <v>48</v>
      </c>
      <c r="E194" s="35">
        <v>1333672.7473496047</v>
      </c>
      <c r="F194" s="1">
        <v>722.59090909090912</v>
      </c>
      <c r="G194">
        <v>1845.6816029245331</v>
      </c>
    </row>
    <row r="195" spans="1:7" x14ac:dyDescent="0.2">
      <c r="A195" t="s">
        <v>188</v>
      </c>
      <c r="B195" s="91" t="s">
        <v>49</v>
      </c>
      <c r="C195" t="s">
        <v>47</v>
      </c>
      <c r="D195" t="s">
        <v>48</v>
      </c>
      <c r="E195" s="35">
        <v>1745259.6033287779</v>
      </c>
      <c r="F195" s="1">
        <v>885.0454545454545</v>
      </c>
      <c r="G195">
        <v>1971.9434684008586</v>
      </c>
    </row>
    <row r="196" spans="1:7" x14ac:dyDescent="0.2">
      <c r="A196" t="s">
        <v>188</v>
      </c>
      <c r="B196" s="91" t="s">
        <v>50</v>
      </c>
      <c r="C196" t="s">
        <v>47</v>
      </c>
      <c r="D196" t="s">
        <v>48</v>
      </c>
      <c r="E196" s="35">
        <v>1959260.989615107</v>
      </c>
      <c r="F196" s="1">
        <v>974.63636363636363</v>
      </c>
      <c r="G196">
        <v>2010.248193803393</v>
      </c>
    </row>
    <row r="197" spans="1:7" x14ac:dyDescent="0.2">
      <c r="A197" t="s">
        <v>188</v>
      </c>
      <c r="B197" s="91" t="s">
        <v>51</v>
      </c>
      <c r="C197" t="s">
        <v>47</v>
      </c>
      <c r="D197" t="s">
        <v>48</v>
      </c>
      <c r="E197" s="35">
        <v>1861604.2722003926</v>
      </c>
      <c r="F197" s="1">
        <v>936.86363636363626</v>
      </c>
      <c r="G197">
        <v>1987.0600159336589</v>
      </c>
    </row>
    <row r="198" spans="1:7" x14ac:dyDescent="0.2">
      <c r="A198" t="s">
        <v>188</v>
      </c>
      <c r="B198" s="91" t="s">
        <v>52</v>
      </c>
      <c r="C198" t="s">
        <v>47</v>
      </c>
      <c r="D198" t="s">
        <v>48</v>
      </c>
      <c r="E198" s="35">
        <v>1787767.6150174676</v>
      </c>
      <c r="F198" s="1">
        <v>983.0454545454545</v>
      </c>
      <c r="G198">
        <v>1818.6011712389277</v>
      </c>
    </row>
    <row r="199" spans="1:7" x14ac:dyDescent="0.2">
      <c r="A199" t="s">
        <v>188</v>
      </c>
      <c r="B199" s="91" t="s">
        <v>53</v>
      </c>
      <c r="C199" t="s">
        <v>47</v>
      </c>
      <c r="D199" t="s">
        <v>48</v>
      </c>
      <c r="E199" s="35">
        <v>1836048.7434071689</v>
      </c>
      <c r="F199" s="1">
        <v>936.77272727272714</v>
      </c>
      <c r="G199">
        <v>1959.9724564490136</v>
      </c>
    </row>
    <row r="200" spans="1:7" x14ac:dyDescent="0.2">
      <c r="A200" t="s">
        <v>188</v>
      </c>
      <c r="B200" s="91" t="s">
        <v>54</v>
      </c>
      <c r="C200" t="s">
        <v>47</v>
      </c>
      <c r="D200" t="s">
        <v>48</v>
      </c>
      <c r="E200" s="35">
        <v>1813789.9551579689</v>
      </c>
      <c r="F200" s="1">
        <v>942.81818181818187</v>
      </c>
      <c r="G200">
        <v>1923.7961148141603</v>
      </c>
    </row>
    <row r="201" spans="1:7" x14ac:dyDescent="0.2">
      <c r="A201" t="s">
        <v>188</v>
      </c>
      <c r="B201" s="91" t="s">
        <v>55</v>
      </c>
      <c r="C201" t="s">
        <v>56</v>
      </c>
      <c r="D201" t="s">
        <v>57</v>
      </c>
      <c r="E201" s="35">
        <v>2071532.9917810243</v>
      </c>
      <c r="F201" s="1">
        <v>1178.318181818182</v>
      </c>
      <c r="G201">
        <v>1758.042117778904</v>
      </c>
    </row>
    <row r="202" spans="1:7" x14ac:dyDescent="0.2">
      <c r="A202" t="s">
        <v>188</v>
      </c>
      <c r="B202" s="91" t="s">
        <v>58</v>
      </c>
      <c r="C202" t="s">
        <v>56</v>
      </c>
      <c r="D202" t="s">
        <v>57</v>
      </c>
      <c r="E202" s="35">
        <v>1746202.5352759857</v>
      </c>
      <c r="F202" s="1">
        <v>943.40909090909099</v>
      </c>
      <c r="G202">
        <v>1850.9494471728106</v>
      </c>
    </row>
    <row r="203" spans="1:7" x14ac:dyDescent="0.2">
      <c r="A203" t="s">
        <v>188</v>
      </c>
      <c r="B203" s="91" t="s">
        <v>59</v>
      </c>
      <c r="C203" t="s">
        <v>56</v>
      </c>
      <c r="D203" t="s">
        <v>57</v>
      </c>
      <c r="E203" s="35">
        <v>1639335.7697968876</v>
      </c>
      <c r="F203" s="1">
        <v>894.27272727272725</v>
      </c>
      <c r="G203">
        <v>1833.1496866692858</v>
      </c>
    </row>
    <row r="204" spans="1:7" x14ac:dyDescent="0.2">
      <c r="A204" t="s">
        <v>188</v>
      </c>
      <c r="B204" s="91" t="s">
        <v>60</v>
      </c>
      <c r="C204" t="s">
        <v>56</v>
      </c>
      <c r="D204" t="s">
        <v>57</v>
      </c>
      <c r="E204" s="35">
        <v>1612314.8284616121</v>
      </c>
      <c r="F204" s="1">
        <v>839.0454545454545</v>
      </c>
      <c r="G204">
        <v>1921.6060580830742</v>
      </c>
    </row>
    <row r="205" spans="1:7" x14ac:dyDescent="0.2">
      <c r="A205" t="s">
        <v>188</v>
      </c>
      <c r="B205" s="91" t="s">
        <v>61</v>
      </c>
      <c r="C205" t="s">
        <v>56</v>
      </c>
      <c r="D205" t="s">
        <v>57</v>
      </c>
      <c r="E205" s="35">
        <v>1539820.5999693417</v>
      </c>
      <c r="F205" s="1">
        <v>785.72727272727263</v>
      </c>
      <c r="G205">
        <v>1959.7392803034547</v>
      </c>
    </row>
    <row r="206" spans="1:7" x14ac:dyDescent="0.2">
      <c r="A206" t="s">
        <v>188</v>
      </c>
      <c r="B206" s="91" t="s">
        <v>62</v>
      </c>
      <c r="C206" t="s">
        <v>56</v>
      </c>
      <c r="D206" t="s">
        <v>57</v>
      </c>
      <c r="E206" s="35">
        <v>1632423.5493247896</v>
      </c>
      <c r="F206" s="1">
        <v>818.27272727272714</v>
      </c>
      <c r="G206">
        <v>1994.962675544127</v>
      </c>
    </row>
    <row r="207" spans="1:7" x14ac:dyDescent="0.2">
      <c r="A207" t="s">
        <v>188</v>
      </c>
      <c r="B207" s="91" t="s">
        <v>63</v>
      </c>
      <c r="C207" t="s">
        <v>56</v>
      </c>
      <c r="D207" t="s">
        <v>57</v>
      </c>
      <c r="E207" s="35">
        <v>1797592.0757300504</v>
      </c>
      <c r="F207" s="1">
        <v>906.04545454545439</v>
      </c>
      <c r="G207">
        <v>1983.9976755160346</v>
      </c>
    </row>
    <row r="208" spans="1:7" x14ac:dyDescent="0.2">
      <c r="A208" t="s">
        <v>188</v>
      </c>
      <c r="B208" s="91" t="s">
        <v>64</v>
      </c>
      <c r="C208" t="s">
        <v>65</v>
      </c>
      <c r="D208" t="s">
        <v>66</v>
      </c>
      <c r="E208" s="35">
        <v>1518688.9710475313</v>
      </c>
      <c r="F208" s="1">
        <v>824.22727272727275</v>
      </c>
      <c r="G208">
        <v>1842.560931067429</v>
      </c>
    </row>
    <row r="209" spans="1:7" x14ac:dyDescent="0.2">
      <c r="A209" t="s">
        <v>188</v>
      </c>
      <c r="B209" s="91" t="s">
        <v>67</v>
      </c>
      <c r="C209" t="s">
        <v>65</v>
      </c>
      <c r="D209" t="s">
        <v>66</v>
      </c>
      <c r="E209" s="35">
        <v>1263942.2535378304</v>
      </c>
      <c r="F209" s="1">
        <v>722.99999999999989</v>
      </c>
      <c r="G209">
        <v>1748.1912220440258</v>
      </c>
    </row>
    <row r="210" spans="1:7" x14ac:dyDescent="0.2">
      <c r="A210" t="s">
        <v>188</v>
      </c>
      <c r="B210" s="91" t="s">
        <v>68</v>
      </c>
      <c r="C210" t="s">
        <v>65</v>
      </c>
      <c r="D210" t="s">
        <v>66</v>
      </c>
      <c r="E210" s="35">
        <v>1151891.7188069634</v>
      </c>
      <c r="F210" s="1">
        <v>668.63636363636374</v>
      </c>
      <c r="G210">
        <v>1722.7476419954583</v>
      </c>
    </row>
    <row r="211" spans="1:7" x14ac:dyDescent="0.2">
      <c r="A211" t="s">
        <v>188</v>
      </c>
      <c r="B211" s="91" t="s">
        <v>69</v>
      </c>
      <c r="C211" t="s">
        <v>65</v>
      </c>
      <c r="D211" t="s">
        <v>66</v>
      </c>
      <c r="E211" s="35">
        <v>1120233.3385696437</v>
      </c>
      <c r="F211" s="1">
        <v>704.54545454545462</v>
      </c>
      <c r="G211">
        <v>1590.0086095827198</v>
      </c>
    </row>
    <row r="212" spans="1:7" x14ac:dyDescent="0.2">
      <c r="A212" t="s">
        <v>188</v>
      </c>
      <c r="B212" s="91" t="s">
        <v>70</v>
      </c>
      <c r="C212" t="s">
        <v>65</v>
      </c>
      <c r="D212" t="s">
        <v>66</v>
      </c>
      <c r="E212" s="35">
        <v>1123674.9463278512</v>
      </c>
      <c r="F212" s="1">
        <v>659.59090909090901</v>
      </c>
      <c r="G212">
        <v>1703.5937440019798</v>
      </c>
    </row>
    <row r="213" spans="1:7" x14ac:dyDescent="0.2">
      <c r="A213" t="s">
        <v>188</v>
      </c>
      <c r="B213" s="91" t="s">
        <v>71</v>
      </c>
      <c r="C213" t="s">
        <v>65</v>
      </c>
      <c r="D213" t="s">
        <v>66</v>
      </c>
      <c r="E213" s="35">
        <v>1320162.8572122059</v>
      </c>
      <c r="F213" s="1">
        <v>819.36363636363637</v>
      </c>
      <c r="G213">
        <v>1611.2050848035353</v>
      </c>
    </row>
    <row r="214" spans="1:7" x14ac:dyDescent="0.2">
      <c r="A214" t="s">
        <v>188</v>
      </c>
      <c r="B214" s="91" t="s">
        <v>72</v>
      </c>
      <c r="C214" t="s">
        <v>65</v>
      </c>
      <c r="D214" t="s">
        <v>66</v>
      </c>
      <c r="E214" s="35">
        <v>1451343.3834788005</v>
      </c>
      <c r="F214" s="1">
        <v>924.0454545454545</v>
      </c>
      <c r="G214">
        <v>1570.6406825979445</v>
      </c>
    </row>
    <row r="215" spans="1:7" x14ac:dyDescent="0.2">
      <c r="A215" t="s">
        <v>188</v>
      </c>
      <c r="B215" s="91" t="s">
        <v>73</v>
      </c>
      <c r="C215" t="s">
        <v>74</v>
      </c>
      <c r="D215" t="s">
        <v>75</v>
      </c>
      <c r="E215" s="35">
        <v>1303588.2979014078</v>
      </c>
      <c r="F215" s="1">
        <v>897.77272727272725</v>
      </c>
      <c r="G215">
        <v>1452.0248369110918</v>
      </c>
    </row>
    <row r="216" spans="1:7" x14ac:dyDescent="0.2">
      <c r="A216" t="s">
        <v>188</v>
      </c>
      <c r="B216" s="91" t="s">
        <v>76</v>
      </c>
      <c r="C216" t="s">
        <v>74</v>
      </c>
      <c r="D216" t="s">
        <v>75</v>
      </c>
      <c r="E216" s="35">
        <v>1808180</v>
      </c>
      <c r="F216" s="1">
        <v>844.17472634770547</v>
      </c>
      <c r="G216">
        <v>2141.9499347285982</v>
      </c>
    </row>
    <row r="217" spans="1:7" x14ac:dyDescent="0.2">
      <c r="A217" t="s">
        <v>188</v>
      </c>
      <c r="B217" s="91" t="s">
        <v>77</v>
      </c>
      <c r="C217" t="s">
        <v>74</v>
      </c>
      <c r="D217" t="s">
        <v>75</v>
      </c>
      <c r="E217" s="35">
        <v>1787503</v>
      </c>
      <c r="F217" s="1">
        <v>792.71712318207506</v>
      </c>
      <c r="G217">
        <v>2254.9065079163652</v>
      </c>
    </row>
    <row r="218" spans="1:7" x14ac:dyDescent="0.2">
      <c r="A218" t="s">
        <v>188</v>
      </c>
      <c r="B218" s="91" t="s">
        <v>78</v>
      </c>
      <c r="C218" t="s">
        <v>74</v>
      </c>
      <c r="D218" t="s">
        <v>75</v>
      </c>
      <c r="E218" s="35">
        <v>1746254</v>
      </c>
      <c r="F218" s="1">
        <v>751.67793822909698</v>
      </c>
      <c r="G218">
        <v>2323.1412167211638</v>
      </c>
    </row>
    <row r="219" spans="1:7" x14ac:dyDescent="0.2">
      <c r="A219" t="s">
        <v>188</v>
      </c>
      <c r="B219" s="91" t="s">
        <v>79</v>
      </c>
      <c r="C219" t="s">
        <v>74</v>
      </c>
      <c r="D219" t="s">
        <v>75</v>
      </c>
      <c r="E219" s="35">
        <v>1805888</v>
      </c>
      <c r="F219" s="1">
        <v>830.43663600390573</v>
      </c>
      <c r="G219">
        <v>2174.6246753876435</v>
      </c>
    </row>
    <row r="220" spans="1:7" x14ac:dyDescent="0.2">
      <c r="A220" t="s">
        <v>188</v>
      </c>
      <c r="B220" s="91" t="s">
        <v>80</v>
      </c>
      <c r="C220" t="s">
        <v>74</v>
      </c>
      <c r="D220" t="s">
        <v>75</v>
      </c>
      <c r="E220" s="35">
        <v>1904273</v>
      </c>
      <c r="F220" s="1">
        <v>944.95991572023217</v>
      </c>
      <c r="G220">
        <v>2015.1891824412423</v>
      </c>
    </row>
    <row r="221" spans="1:7" x14ac:dyDescent="0.2">
      <c r="A221" t="s">
        <v>188</v>
      </c>
      <c r="B221" s="91" t="s">
        <v>81</v>
      </c>
      <c r="C221" t="s">
        <v>74</v>
      </c>
      <c r="D221" t="s">
        <v>75</v>
      </c>
      <c r="E221" s="35">
        <v>1844731</v>
      </c>
      <c r="F221" s="1">
        <v>848.68107302533531</v>
      </c>
      <c r="G221">
        <v>2173.6445628791935</v>
      </c>
    </row>
    <row r="222" spans="1:7" x14ac:dyDescent="0.2">
      <c r="A222" t="s">
        <v>188</v>
      </c>
      <c r="B222" s="91" t="s">
        <v>82</v>
      </c>
      <c r="C222" t="s">
        <v>83</v>
      </c>
      <c r="D222" t="s">
        <v>84</v>
      </c>
      <c r="E222" s="35">
        <v>1844090</v>
      </c>
      <c r="F222" s="1">
        <v>845.99439847885299</v>
      </c>
      <c r="G222">
        <v>2179.7898464999071</v>
      </c>
    </row>
    <row r="223" spans="1:7" x14ac:dyDescent="0.2">
      <c r="A223" t="s">
        <v>188</v>
      </c>
      <c r="B223" s="91" t="s">
        <v>85</v>
      </c>
      <c r="C223" t="s">
        <v>83</v>
      </c>
      <c r="D223" t="s">
        <v>84</v>
      </c>
      <c r="E223" s="35">
        <v>1808180</v>
      </c>
      <c r="F223" s="1">
        <v>845.17472634770547</v>
      </c>
      <c r="G223">
        <v>2139.4156067749163</v>
      </c>
    </row>
    <row r="224" spans="1:7" x14ac:dyDescent="0.2">
      <c r="A224" t="s">
        <v>188</v>
      </c>
      <c r="B224" s="91" t="s">
        <v>86</v>
      </c>
      <c r="C224" t="s">
        <v>83</v>
      </c>
      <c r="D224" t="s">
        <v>84</v>
      </c>
      <c r="E224" s="35">
        <v>1787503</v>
      </c>
      <c r="F224" s="1">
        <v>792.71712318207506</v>
      </c>
      <c r="G224">
        <v>2254.9065079163652</v>
      </c>
    </row>
    <row r="225" spans="1:7" x14ac:dyDescent="0.2">
      <c r="A225" t="s">
        <v>188</v>
      </c>
      <c r="B225" s="91" t="s">
        <v>87</v>
      </c>
      <c r="C225" t="s">
        <v>83</v>
      </c>
      <c r="D225" t="s">
        <v>84</v>
      </c>
      <c r="E225" s="35">
        <v>1746254</v>
      </c>
      <c r="F225" s="1">
        <v>751.67793822909698</v>
      </c>
      <c r="G225">
        <v>2323.1412167211638</v>
      </c>
    </row>
    <row r="226" spans="1:7" x14ac:dyDescent="0.2">
      <c r="A226" t="s">
        <v>188</v>
      </c>
      <c r="B226" s="91" t="s">
        <v>88</v>
      </c>
      <c r="C226" t="s">
        <v>83</v>
      </c>
      <c r="D226" t="s">
        <v>84</v>
      </c>
      <c r="E226" s="35">
        <v>1805888</v>
      </c>
      <c r="F226" s="1">
        <v>830.43663600390573</v>
      </c>
      <c r="G226">
        <v>2174.6246753876435</v>
      </c>
    </row>
    <row r="227" spans="1:7" x14ac:dyDescent="0.2">
      <c r="A227" t="s">
        <v>188</v>
      </c>
      <c r="B227" s="91" t="s">
        <v>89</v>
      </c>
      <c r="C227" t="s">
        <v>83</v>
      </c>
      <c r="D227" t="s">
        <v>84</v>
      </c>
      <c r="E227" s="35">
        <v>1904273</v>
      </c>
      <c r="F227" s="1">
        <v>949.95991572023217</v>
      </c>
      <c r="G227">
        <v>2004.5824760471448</v>
      </c>
    </row>
    <row r="228" spans="1:7" x14ac:dyDescent="0.2">
      <c r="A228" t="s">
        <v>188</v>
      </c>
      <c r="B228" s="91" t="s">
        <v>90</v>
      </c>
      <c r="C228" t="s">
        <v>83</v>
      </c>
      <c r="D228" t="s">
        <v>84</v>
      </c>
      <c r="E228" s="35">
        <v>1844731</v>
      </c>
      <c r="F228" s="1">
        <v>848.68107302533531</v>
      </c>
      <c r="G228">
        <v>2173.6445628791935</v>
      </c>
    </row>
    <row r="229" spans="1:7" x14ac:dyDescent="0.2">
      <c r="A229" t="s">
        <v>188</v>
      </c>
      <c r="B229" s="91" t="s">
        <v>91</v>
      </c>
      <c r="C229" t="s">
        <v>92</v>
      </c>
      <c r="D229" t="s">
        <v>93</v>
      </c>
      <c r="E229" s="35">
        <v>1844090</v>
      </c>
      <c r="F229" s="1">
        <v>845.99439847885299</v>
      </c>
      <c r="G229">
        <v>2179.7898464999071</v>
      </c>
    </row>
    <row r="230" spans="1:7" x14ac:dyDescent="0.2">
      <c r="A230" t="s">
        <v>188</v>
      </c>
      <c r="B230" s="91" t="s">
        <v>94</v>
      </c>
      <c r="C230" t="s">
        <v>92</v>
      </c>
      <c r="D230" t="s">
        <v>93</v>
      </c>
      <c r="E230" s="35">
        <v>1808180</v>
      </c>
      <c r="F230" s="1">
        <v>845.17472634770547</v>
      </c>
      <c r="G230">
        <v>2139.4156067749163</v>
      </c>
    </row>
    <row r="231" spans="1:7" x14ac:dyDescent="0.2">
      <c r="A231" t="s">
        <v>188</v>
      </c>
      <c r="B231" s="91" t="s">
        <v>95</v>
      </c>
      <c r="C231" t="s">
        <v>92</v>
      </c>
      <c r="D231" t="s">
        <v>93</v>
      </c>
      <c r="E231" s="35">
        <v>1787503</v>
      </c>
      <c r="F231" s="1">
        <v>792.71712318207506</v>
      </c>
      <c r="G231">
        <v>2254.9065079163652</v>
      </c>
    </row>
    <row r="232" spans="1:7" x14ac:dyDescent="0.2">
      <c r="A232" t="s">
        <v>188</v>
      </c>
      <c r="B232" s="91" t="s">
        <v>96</v>
      </c>
      <c r="C232" t="s">
        <v>92</v>
      </c>
      <c r="D232" t="s">
        <v>93</v>
      </c>
      <c r="E232" s="35">
        <v>1746254</v>
      </c>
      <c r="F232" s="1">
        <v>751.67793822909698</v>
      </c>
      <c r="G232">
        <v>2323.1412167211638</v>
      </c>
    </row>
    <row r="233" spans="1:7" x14ac:dyDescent="0.2">
      <c r="A233" t="s">
        <v>188</v>
      </c>
      <c r="B233" s="91" t="s">
        <v>97</v>
      </c>
      <c r="C233" t="s">
        <v>92</v>
      </c>
      <c r="D233" t="s">
        <v>93</v>
      </c>
      <c r="E233" s="35">
        <v>1805888</v>
      </c>
      <c r="F233" s="1">
        <v>830.43663600390573</v>
      </c>
      <c r="G233">
        <v>2174.6246753876435</v>
      </c>
    </row>
    <row r="234" spans="1:7" x14ac:dyDescent="0.2">
      <c r="A234" t="s">
        <v>188</v>
      </c>
      <c r="B234" s="91" t="s">
        <v>98</v>
      </c>
      <c r="C234" t="s">
        <v>92</v>
      </c>
      <c r="D234" t="s">
        <v>93</v>
      </c>
      <c r="E234" s="35">
        <v>1904273</v>
      </c>
      <c r="F234" s="1">
        <v>949.95991572023217</v>
      </c>
      <c r="G234">
        <v>2004.5824760471448</v>
      </c>
    </row>
    <row r="235" spans="1:7" x14ac:dyDescent="0.2">
      <c r="A235" t="s">
        <v>188</v>
      </c>
      <c r="B235" s="91" t="s">
        <v>99</v>
      </c>
      <c r="C235" t="s">
        <v>92</v>
      </c>
      <c r="D235" t="s">
        <v>93</v>
      </c>
      <c r="E235" s="35">
        <v>1844731</v>
      </c>
      <c r="F235" s="1">
        <v>848.68107302533531</v>
      </c>
      <c r="G235">
        <v>2173.6445628791935</v>
      </c>
    </row>
    <row r="236" spans="1:7" x14ac:dyDescent="0.2">
      <c r="A236" t="s">
        <v>188</v>
      </c>
      <c r="B236" s="91" t="s">
        <v>100</v>
      </c>
      <c r="C236" t="s">
        <v>101</v>
      </c>
      <c r="D236" t="s">
        <v>102</v>
      </c>
      <c r="E236" s="35">
        <v>1844090</v>
      </c>
      <c r="F236" s="1">
        <v>845.99439847885299</v>
      </c>
      <c r="G236">
        <v>2179.7898464999071</v>
      </c>
    </row>
    <row r="237" spans="1:7" x14ac:dyDescent="0.2">
      <c r="A237" t="s">
        <v>188</v>
      </c>
      <c r="B237" s="91" t="s">
        <v>103</v>
      </c>
      <c r="C237" t="s">
        <v>101</v>
      </c>
      <c r="D237" t="s">
        <v>102</v>
      </c>
      <c r="E237" s="35">
        <v>1808180</v>
      </c>
      <c r="F237" s="1">
        <v>845.17472634770547</v>
      </c>
      <c r="G237">
        <v>2139.4156067749163</v>
      </c>
    </row>
    <row r="238" spans="1:7" x14ac:dyDescent="0.2">
      <c r="A238" t="s">
        <v>188</v>
      </c>
      <c r="B238" s="91" t="s">
        <v>104</v>
      </c>
      <c r="C238" t="s">
        <v>101</v>
      </c>
      <c r="D238" t="s">
        <v>102</v>
      </c>
      <c r="E238" s="35">
        <v>1787503</v>
      </c>
      <c r="F238" s="1">
        <v>792.71712318207506</v>
      </c>
      <c r="G238">
        <v>2254.9065079163652</v>
      </c>
    </row>
    <row r="239" spans="1:7" x14ac:dyDescent="0.2">
      <c r="A239" t="s">
        <v>188</v>
      </c>
      <c r="B239" s="91" t="s">
        <v>105</v>
      </c>
      <c r="C239" t="s">
        <v>101</v>
      </c>
      <c r="D239" t="s">
        <v>102</v>
      </c>
      <c r="E239" s="35">
        <v>1746254</v>
      </c>
      <c r="F239" s="1">
        <v>751.67793822909698</v>
      </c>
      <c r="G239">
        <v>2323.1412167211638</v>
      </c>
    </row>
    <row r="240" spans="1:7" x14ac:dyDescent="0.2">
      <c r="A240" t="s">
        <v>188</v>
      </c>
      <c r="B240" s="91" t="s">
        <v>106</v>
      </c>
      <c r="C240" t="s">
        <v>101</v>
      </c>
      <c r="D240" t="s">
        <v>102</v>
      </c>
      <c r="E240" s="35">
        <v>1805888</v>
      </c>
      <c r="F240" s="1">
        <v>830.43663600390573</v>
      </c>
      <c r="G240">
        <v>2174.6246753876435</v>
      </c>
    </row>
    <row r="241" spans="1:7" x14ac:dyDescent="0.2">
      <c r="A241" t="s">
        <v>188</v>
      </c>
      <c r="B241" s="91" t="s">
        <v>107</v>
      </c>
      <c r="C241" t="s">
        <v>101</v>
      </c>
      <c r="D241" t="s">
        <v>102</v>
      </c>
      <c r="E241" s="35">
        <v>1904273</v>
      </c>
      <c r="F241" s="1">
        <v>949.95991572023217</v>
      </c>
      <c r="G241">
        <v>2004.5824760471448</v>
      </c>
    </row>
    <row r="242" spans="1:7" x14ac:dyDescent="0.2">
      <c r="A242" t="s">
        <v>188</v>
      </c>
      <c r="B242" s="91" t="s">
        <v>108</v>
      </c>
      <c r="C242" t="s">
        <v>101</v>
      </c>
      <c r="D242" t="s">
        <v>102</v>
      </c>
      <c r="E242" s="35">
        <v>1844731</v>
      </c>
      <c r="F242" s="1">
        <v>848.68107302533531</v>
      </c>
      <c r="G242">
        <v>2173.6445628791935</v>
      </c>
    </row>
    <row r="243" spans="1:7" x14ac:dyDescent="0.2">
      <c r="A243" t="s">
        <v>188</v>
      </c>
      <c r="B243" s="91" t="s">
        <v>109</v>
      </c>
      <c r="E243" s="35">
        <v>1844090</v>
      </c>
      <c r="F243" s="1">
        <v>845.99439847885299</v>
      </c>
      <c r="G243">
        <v>2179.7898464999071</v>
      </c>
    </row>
    <row r="244" spans="1:7" x14ac:dyDescent="0.2">
      <c r="A244" t="s">
        <v>188</v>
      </c>
      <c r="B244" s="91" t="s">
        <v>110</v>
      </c>
      <c r="E244" s="35">
        <v>1808180</v>
      </c>
      <c r="F244" s="1">
        <v>845.17472634770547</v>
      </c>
      <c r="G244">
        <v>2139.4156067749163</v>
      </c>
    </row>
    <row r="245" spans="1:7" x14ac:dyDescent="0.2">
      <c r="A245" t="s">
        <v>188</v>
      </c>
      <c r="B245" s="91" t="s">
        <v>111</v>
      </c>
      <c r="E245" s="35">
        <v>1787513</v>
      </c>
      <c r="F245" s="1">
        <v>792.71712318207506</v>
      </c>
      <c r="G245">
        <v>2254.9191227567762</v>
      </c>
    </row>
    <row r="246" spans="1:7" x14ac:dyDescent="0.2">
      <c r="A246" t="s">
        <v>188</v>
      </c>
      <c r="B246" s="91" t="s">
        <v>112</v>
      </c>
      <c r="C246" t="s">
        <v>113</v>
      </c>
      <c r="D246" t="s">
        <v>114</v>
      </c>
      <c r="E246" s="35">
        <v>6853964</v>
      </c>
      <c r="F246" s="1">
        <v>1649</v>
      </c>
      <c r="G246">
        <v>4156.4366282595511</v>
      </c>
    </row>
    <row r="247" spans="1:7" x14ac:dyDescent="0.2">
      <c r="A247" t="s">
        <v>188</v>
      </c>
      <c r="B247" s="91" t="s">
        <v>115</v>
      </c>
      <c r="C247" t="s">
        <v>113</v>
      </c>
      <c r="D247" t="s">
        <v>114</v>
      </c>
      <c r="E247" s="35">
        <v>7209804</v>
      </c>
      <c r="F247" s="1">
        <v>1862</v>
      </c>
      <c r="G247">
        <v>3872.0751879699246</v>
      </c>
    </row>
    <row r="248" spans="1:7" x14ac:dyDescent="0.2">
      <c r="A248" t="s">
        <v>188</v>
      </c>
      <c r="B248" s="91" t="s">
        <v>116</v>
      </c>
      <c r="C248" t="s">
        <v>113</v>
      </c>
      <c r="D248" t="s">
        <v>114</v>
      </c>
      <c r="E248" s="35">
        <v>7621267</v>
      </c>
      <c r="F248" s="1">
        <v>1975</v>
      </c>
      <c r="G248">
        <v>3858.8693670886078</v>
      </c>
    </row>
    <row r="249" spans="1:7" x14ac:dyDescent="0.2">
      <c r="A249" t="s">
        <v>188</v>
      </c>
      <c r="B249" s="91" t="s">
        <v>117</v>
      </c>
      <c r="C249" t="s">
        <v>113</v>
      </c>
      <c r="D249" t="s">
        <v>114</v>
      </c>
      <c r="E249" s="35">
        <v>7380884</v>
      </c>
      <c r="F249" s="1">
        <v>1878</v>
      </c>
      <c r="G249">
        <v>3930.1831735889245</v>
      </c>
    </row>
    <row r="250" spans="1:7" x14ac:dyDescent="0.2">
      <c r="A250" t="s">
        <v>188</v>
      </c>
      <c r="B250" s="91" t="s">
        <v>118</v>
      </c>
      <c r="C250" t="s">
        <v>113</v>
      </c>
      <c r="D250" t="s">
        <v>114</v>
      </c>
      <c r="E250" s="35">
        <v>7377162</v>
      </c>
      <c r="F250" s="1">
        <v>1865</v>
      </c>
      <c r="G250">
        <v>3955.5828418230562</v>
      </c>
    </row>
    <row r="251" spans="1:7" x14ac:dyDescent="0.2">
      <c r="A251" t="s">
        <v>188</v>
      </c>
      <c r="B251" s="91" t="s">
        <v>119</v>
      </c>
      <c r="C251" t="s">
        <v>113</v>
      </c>
      <c r="D251" t="s">
        <v>114</v>
      </c>
      <c r="E251" s="35">
        <v>7227768</v>
      </c>
      <c r="F251" s="1">
        <v>1861</v>
      </c>
      <c r="G251">
        <v>3883.8087049973133</v>
      </c>
    </row>
    <row r="252" spans="1:7" x14ac:dyDescent="0.2">
      <c r="A252" t="s">
        <v>188</v>
      </c>
      <c r="B252" s="91" t="s">
        <v>120</v>
      </c>
      <c r="C252" t="s">
        <v>113</v>
      </c>
      <c r="D252" t="s">
        <v>114</v>
      </c>
      <c r="E252" s="35">
        <v>7140596</v>
      </c>
      <c r="F252" s="1">
        <v>1816</v>
      </c>
      <c r="G252">
        <v>3932.0462555066078</v>
      </c>
    </row>
    <row r="253" spans="1:7" x14ac:dyDescent="0.2">
      <c r="A253" t="s">
        <v>188</v>
      </c>
      <c r="B253" s="91" t="s">
        <v>121</v>
      </c>
      <c r="C253" t="s">
        <v>113</v>
      </c>
      <c r="D253" t="s">
        <v>114</v>
      </c>
      <c r="E253" s="35">
        <v>6971596</v>
      </c>
      <c r="F253" s="1">
        <v>1780</v>
      </c>
      <c r="G253">
        <v>3916.626966292135</v>
      </c>
    </row>
    <row r="254" spans="1:7" x14ac:dyDescent="0.2">
      <c r="A254" t="s">
        <v>188</v>
      </c>
      <c r="B254" s="91" t="s">
        <v>122</v>
      </c>
      <c r="C254" t="s">
        <v>113</v>
      </c>
      <c r="D254" t="s">
        <v>114</v>
      </c>
      <c r="E254" s="35">
        <v>7214804</v>
      </c>
      <c r="F254" s="1">
        <v>1862</v>
      </c>
      <c r="G254">
        <v>3874.7604726100967</v>
      </c>
    </row>
    <row r="255" spans="1:7" x14ac:dyDescent="0.2">
      <c r="A255" t="s">
        <v>188</v>
      </c>
      <c r="B255" s="91" t="s">
        <v>123</v>
      </c>
      <c r="C255" t="s">
        <v>113</v>
      </c>
      <c r="D255" t="s">
        <v>114</v>
      </c>
      <c r="E255" s="35">
        <v>7621267</v>
      </c>
      <c r="F255" s="1">
        <v>1976</v>
      </c>
      <c r="G255">
        <v>3856.9164979757084</v>
      </c>
    </row>
    <row r="256" spans="1:7" x14ac:dyDescent="0.2">
      <c r="A256" t="s">
        <v>188</v>
      </c>
      <c r="B256" s="91" t="s">
        <v>124</v>
      </c>
      <c r="C256" t="s">
        <v>113</v>
      </c>
      <c r="D256" t="s">
        <v>114</v>
      </c>
      <c r="E256" s="35">
        <v>7380888</v>
      </c>
      <c r="F256" s="1">
        <v>1876</v>
      </c>
      <c r="G256">
        <v>3934.3752665245202</v>
      </c>
    </row>
    <row r="257" spans="1:7" x14ac:dyDescent="0.2">
      <c r="A257" t="s">
        <v>188</v>
      </c>
      <c r="B257" s="91" t="s">
        <v>125</v>
      </c>
      <c r="C257" t="s">
        <v>126</v>
      </c>
      <c r="D257" t="s">
        <v>127</v>
      </c>
      <c r="E257" s="35">
        <v>1597003</v>
      </c>
      <c r="F257" s="1">
        <v>802</v>
      </c>
      <c r="G257">
        <v>1991.275561097257</v>
      </c>
    </row>
    <row r="258" spans="1:7" x14ac:dyDescent="0.2">
      <c r="A258" t="s">
        <v>188</v>
      </c>
      <c r="B258" s="91" t="s">
        <v>128</v>
      </c>
      <c r="C258" t="s">
        <v>126</v>
      </c>
      <c r="D258" t="s">
        <v>127</v>
      </c>
      <c r="E258" s="35">
        <v>1559123</v>
      </c>
      <c r="F258" s="1">
        <v>801</v>
      </c>
      <c r="G258">
        <v>1946.4706616729088</v>
      </c>
    </row>
    <row r="259" spans="1:7" x14ac:dyDescent="0.2">
      <c r="A259" t="s">
        <v>188</v>
      </c>
      <c r="B259" s="91" t="s">
        <v>129</v>
      </c>
      <c r="C259" t="s">
        <v>126</v>
      </c>
      <c r="D259" t="s">
        <v>127</v>
      </c>
      <c r="E259" s="35">
        <v>1537021</v>
      </c>
      <c r="F259" s="1">
        <v>749</v>
      </c>
      <c r="G259">
        <v>2052.097463284379</v>
      </c>
    </row>
    <row r="260" spans="1:7" x14ac:dyDescent="0.2">
      <c r="A260" t="s">
        <v>188</v>
      </c>
      <c r="B260" s="91" t="s">
        <v>130</v>
      </c>
      <c r="C260" t="s">
        <v>126</v>
      </c>
      <c r="D260" t="s">
        <v>127</v>
      </c>
      <c r="E260" s="35">
        <v>1494169</v>
      </c>
      <c r="F260" s="1">
        <v>709</v>
      </c>
      <c r="G260">
        <v>2107.431593794076</v>
      </c>
    </row>
    <row r="261" spans="1:7" x14ac:dyDescent="0.2">
      <c r="A261" t="s">
        <v>188</v>
      </c>
      <c r="B261" s="91" t="s">
        <v>131</v>
      </c>
      <c r="C261" t="s">
        <v>126</v>
      </c>
      <c r="D261" t="s">
        <v>127</v>
      </c>
      <c r="E261" s="35">
        <v>1555837</v>
      </c>
      <c r="F261" s="1">
        <v>790</v>
      </c>
      <c r="G261">
        <v>1969.4139240506329</v>
      </c>
    </row>
    <row r="262" spans="1:7" x14ac:dyDescent="0.2">
      <c r="A262" t="s">
        <v>188</v>
      </c>
      <c r="B262" s="91" t="s">
        <v>132</v>
      </c>
      <c r="C262" t="s">
        <v>126</v>
      </c>
      <c r="D262" t="s">
        <v>127</v>
      </c>
      <c r="E262" s="35">
        <v>1658899</v>
      </c>
      <c r="F262" s="1">
        <v>915</v>
      </c>
      <c r="G262">
        <v>1813.0043715846994</v>
      </c>
    </row>
    <row r="263" spans="1:7" x14ac:dyDescent="0.2">
      <c r="A263" t="s">
        <v>188</v>
      </c>
      <c r="B263" s="91" t="s">
        <v>133</v>
      </c>
      <c r="C263" t="s">
        <v>126</v>
      </c>
      <c r="D263" t="s">
        <v>127</v>
      </c>
      <c r="E263" s="35">
        <v>1597949</v>
      </c>
      <c r="F263" s="1">
        <v>815</v>
      </c>
      <c r="G263">
        <v>1960.6736196319018</v>
      </c>
    </row>
    <row r="264" spans="1:7" x14ac:dyDescent="0.2">
      <c r="A264" t="s">
        <v>188</v>
      </c>
      <c r="B264" s="91" t="s">
        <v>134</v>
      </c>
      <c r="C264" t="s">
        <v>135</v>
      </c>
      <c r="D264" t="s">
        <v>136</v>
      </c>
      <c r="E264" s="35">
        <v>1597003</v>
      </c>
      <c r="F264" s="1">
        <v>802</v>
      </c>
      <c r="G264">
        <v>1991.275561097257</v>
      </c>
    </row>
    <row r="265" spans="1:7" x14ac:dyDescent="0.2">
      <c r="A265" t="s">
        <v>188</v>
      </c>
      <c r="B265" s="91" t="s">
        <v>137</v>
      </c>
      <c r="C265" t="s">
        <v>135</v>
      </c>
      <c r="D265" t="s">
        <v>136</v>
      </c>
      <c r="E265" s="35">
        <v>1559123</v>
      </c>
      <c r="F265" s="1">
        <v>801</v>
      </c>
      <c r="G265">
        <v>1946.4706616729088</v>
      </c>
    </row>
    <row r="266" spans="1:7" x14ac:dyDescent="0.2">
      <c r="A266" t="s">
        <v>188</v>
      </c>
      <c r="B266" s="91" t="s">
        <v>138</v>
      </c>
      <c r="C266" t="s">
        <v>135</v>
      </c>
      <c r="D266" t="s">
        <v>136</v>
      </c>
      <c r="E266" s="35">
        <v>1537021</v>
      </c>
      <c r="F266" s="1">
        <v>749</v>
      </c>
      <c r="G266">
        <v>2052.097463284379</v>
      </c>
    </row>
    <row r="267" spans="1:7" x14ac:dyDescent="0.2">
      <c r="A267" t="s">
        <v>188</v>
      </c>
      <c r="B267" s="91" t="s">
        <v>139</v>
      </c>
      <c r="C267" t="s">
        <v>135</v>
      </c>
      <c r="D267" t="s">
        <v>136</v>
      </c>
      <c r="E267" s="35">
        <v>1494169</v>
      </c>
      <c r="F267" s="1">
        <v>709</v>
      </c>
      <c r="G267">
        <v>2107.431593794076</v>
      </c>
    </row>
    <row r="268" spans="1:7" x14ac:dyDescent="0.2">
      <c r="A268" t="s">
        <v>188</v>
      </c>
      <c r="B268" s="91" t="s">
        <v>140</v>
      </c>
      <c r="C268" t="s">
        <v>135</v>
      </c>
      <c r="D268" t="s">
        <v>136</v>
      </c>
      <c r="E268" s="35">
        <v>1555837</v>
      </c>
      <c r="F268" s="1">
        <v>790</v>
      </c>
      <c r="G268">
        <v>1969.4139240506329</v>
      </c>
    </row>
    <row r="269" spans="1:7" x14ac:dyDescent="0.2">
      <c r="A269" t="s">
        <v>188</v>
      </c>
      <c r="B269" s="91" t="s">
        <v>141</v>
      </c>
      <c r="C269" t="s">
        <v>135</v>
      </c>
      <c r="D269" t="s">
        <v>136</v>
      </c>
      <c r="E269" s="35">
        <v>1658899</v>
      </c>
      <c r="F269" s="1">
        <v>915</v>
      </c>
      <c r="G269">
        <v>1813.0043715846994</v>
      </c>
    </row>
    <row r="270" spans="1:7" x14ac:dyDescent="0.2">
      <c r="A270" t="s">
        <v>188</v>
      </c>
      <c r="B270" s="91" t="s">
        <v>142</v>
      </c>
      <c r="C270" t="s">
        <v>135</v>
      </c>
      <c r="D270" t="s">
        <v>136</v>
      </c>
      <c r="E270" s="35">
        <v>1597949</v>
      </c>
      <c r="F270" s="1">
        <v>815</v>
      </c>
      <c r="G270">
        <v>1960.6736196319018</v>
      </c>
    </row>
    <row r="271" spans="1:7" x14ac:dyDescent="0.2">
      <c r="A271" t="s">
        <v>188</v>
      </c>
      <c r="B271" s="91" t="s">
        <v>143</v>
      </c>
      <c r="C271" t="s">
        <v>144</v>
      </c>
      <c r="D271" t="s">
        <v>145</v>
      </c>
      <c r="E271" s="35">
        <v>1597003</v>
      </c>
      <c r="F271" s="1">
        <v>802</v>
      </c>
      <c r="G271">
        <v>1991.275561097257</v>
      </c>
    </row>
    <row r="272" spans="1:7" x14ac:dyDescent="0.2">
      <c r="A272" t="s">
        <v>188</v>
      </c>
      <c r="B272" s="91" t="s">
        <v>146</v>
      </c>
      <c r="C272" t="s">
        <v>144</v>
      </c>
      <c r="D272" t="s">
        <v>145</v>
      </c>
      <c r="E272" s="35">
        <v>1559123</v>
      </c>
      <c r="F272" s="1">
        <v>801</v>
      </c>
      <c r="G272">
        <v>1946.4706616729088</v>
      </c>
    </row>
    <row r="273" spans="1:7" x14ac:dyDescent="0.2">
      <c r="A273" t="s">
        <v>188</v>
      </c>
      <c r="B273" s="91" t="s">
        <v>147</v>
      </c>
      <c r="C273" t="s">
        <v>144</v>
      </c>
      <c r="D273" t="s">
        <v>145</v>
      </c>
      <c r="E273" s="35">
        <v>1537021</v>
      </c>
      <c r="F273" s="1">
        <v>749</v>
      </c>
      <c r="G273">
        <v>2052.097463284379</v>
      </c>
    </row>
    <row r="274" spans="1:7" x14ac:dyDescent="0.2">
      <c r="A274" t="s">
        <v>188</v>
      </c>
      <c r="B274" s="91" t="s">
        <v>148</v>
      </c>
      <c r="C274" t="s">
        <v>144</v>
      </c>
      <c r="D274" t="s">
        <v>145</v>
      </c>
      <c r="E274" s="35">
        <v>1494169</v>
      </c>
      <c r="F274" s="1">
        <v>709</v>
      </c>
      <c r="G274">
        <v>2107.431593794076</v>
      </c>
    </row>
    <row r="275" spans="1:7" x14ac:dyDescent="0.2">
      <c r="A275" t="s">
        <v>188</v>
      </c>
      <c r="B275" s="91" t="s">
        <v>149</v>
      </c>
      <c r="C275" t="s">
        <v>144</v>
      </c>
      <c r="D275" t="s">
        <v>145</v>
      </c>
      <c r="E275" s="35">
        <v>1555837</v>
      </c>
      <c r="F275" s="1">
        <v>790</v>
      </c>
      <c r="G275">
        <v>1969.4139240506329</v>
      </c>
    </row>
    <row r="276" spans="1:7" x14ac:dyDescent="0.2">
      <c r="A276" t="s">
        <v>188</v>
      </c>
      <c r="B276" s="91" t="s">
        <v>150</v>
      </c>
      <c r="C276" t="s">
        <v>144</v>
      </c>
      <c r="D276" t="s">
        <v>145</v>
      </c>
      <c r="E276" s="35">
        <v>1658899</v>
      </c>
      <c r="F276" s="1">
        <v>915</v>
      </c>
      <c r="G276">
        <v>1813.0043715846994</v>
      </c>
    </row>
    <row r="277" spans="1:7" x14ac:dyDescent="0.2">
      <c r="A277" t="s">
        <v>188</v>
      </c>
      <c r="B277" s="91" t="s">
        <v>151</v>
      </c>
      <c r="C277" t="s">
        <v>144</v>
      </c>
      <c r="D277" t="s">
        <v>145</v>
      </c>
      <c r="E277" s="35">
        <v>1597946</v>
      </c>
      <c r="F277" s="1">
        <v>815</v>
      </c>
      <c r="G277">
        <v>1960.6699386503067</v>
      </c>
    </row>
    <row r="278" spans="1:7" x14ac:dyDescent="0.2">
      <c r="A278" t="s">
        <v>188</v>
      </c>
      <c r="B278" s="91" t="s">
        <v>152</v>
      </c>
      <c r="C278" t="s">
        <v>153</v>
      </c>
      <c r="D278" t="s">
        <v>154</v>
      </c>
      <c r="E278" s="35">
        <v>1865459</v>
      </c>
      <c r="F278" s="1">
        <v>781</v>
      </c>
      <c r="G278">
        <v>2388.5518565941102</v>
      </c>
    </row>
    <row r="279" spans="1:7" x14ac:dyDescent="0.2">
      <c r="A279" t="s">
        <v>188</v>
      </c>
      <c r="B279" s="91" t="s">
        <v>155</v>
      </c>
      <c r="C279" t="s">
        <v>153</v>
      </c>
      <c r="D279" t="s">
        <v>154</v>
      </c>
      <c r="E279" s="35">
        <v>1811450</v>
      </c>
      <c r="F279" s="1">
        <v>778</v>
      </c>
      <c r="G279">
        <v>2328.3419023136248</v>
      </c>
    </row>
    <row r="280" spans="1:7" x14ac:dyDescent="0.2">
      <c r="A280" t="s">
        <v>188</v>
      </c>
      <c r="B280" s="91" t="s">
        <v>156</v>
      </c>
      <c r="C280" t="s">
        <v>153</v>
      </c>
      <c r="D280" t="s">
        <v>154</v>
      </c>
      <c r="E280" s="35">
        <v>1767001</v>
      </c>
      <c r="F280" s="1">
        <v>709</v>
      </c>
      <c r="G280">
        <v>2492.244005641749</v>
      </c>
    </row>
    <row r="281" spans="1:7" x14ac:dyDescent="0.2">
      <c r="A281" t="s">
        <v>188</v>
      </c>
      <c r="B281" s="91" t="s">
        <v>157</v>
      </c>
      <c r="C281" t="s">
        <v>153</v>
      </c>
      <c r="D281" t="s">
        <v>154</v>
      </c>
      <c r="E281" s="35">
        <v>1718329</v>
      </c>
      <c r="F281" s="1">
        <v>662</v>
      </c>
      <c r="G281">
        <v>2595.6631419939577</v>
      </c>
    </row>
    <row r="282" spans="1:7" x14ac:dyDescent="0.2">
      <c r="A282" t="s">
        <v>188</v>
      </c>
      <c r="B282" s="91" t="s">
        <v>158</v>
      </c>
      <c r="C282" t="s">
        <v>153</v>
      </c>
      <c r="D282" t="s">
        <v>154</v>
      </c>
      <c r="E282" s="35">
        <v>1791589</v>
      </c>
      <c r="F282" s="1">
        <v>759</v>
      </c>
      <c r="G282">
        <v>2360.459815546772</v>
      </c>
    </row>
    <row r="283" spans="1:7" x14ac:dyDescent="0.2">
      <c r="A283" t="s">
        <v>188</v>
      </c>
      <c r="B283" s="91" t="s">
        <v>159</v>
      </c>
      <c r="C283" t="s">
        <v>153</v>
      </c>
      <c r="D283" t="s">
        <v>154</v>
      </c>
      <c r="E283" s="35">
        <v>1934006</v>
      </c>
      <c r="F283" s="1">
        <v>912</v>
      </c>
      <c r="G283">
        <v>2120.6206140350878</v>
      </c>
    </row>
    <row r="284" spans="1:7" x14ac:dyDescent="0.2">
      <c r="A284" t="s">
        <v>188</v>
      </c>
      <c r="B284" s="91" t="s">
        <v>160</v>
      </c>
      <c r="C284" t="s">
        <v>153</v>
      </c>
      <c r="D284" t="s">
        <v>154</v>
      </c>
      <c r="E284" s="35">
        <v>1873478</v>
      </c>
      <c r="F284" s="1">
        <v>793</v>
      </c>
      <c r="G284">
        <v>2362.5195460277428</v>
      </c>
    </row>
    <row r="285" spans="1:7" x14ac:dyDescent="0.2">
      <c r="A285" t="s">
        <v>188</v>
      </c>
      <c r="B285" s="91" t="s">
        <v>161</v>
      </c>
      <c r="C285" t="s">
        <v>162</v>
      </c>
      <c r="D285" t="s">
        <v>163</v>
      </c>
      <c r="E285" s="35">
        <v>1865459</v>
      </c>
      <c r="F285" s="1">
        <v>781</v>
      </c>
      <c r="G285">
        <v>2388.5518565941102</v>
      </c>
    </row>
    <row r="286" spans="1:7" x14ac:dyDescent="0.2">
      <c r="A286" t="s">
        <v>188</v>
      </c>
      <c r="B286" s="91" t="s">
        <v>164</v>
      </c>
      <c r="C286" t="s">
        <v>162</v>
      </c>
      <c r="D286" t="s">
        <v>163</v>
      </c>
      <c r="E286" s="35">
        <v>1811450</v>
      </c>
      <c r="F286" s="1">
        <v>778</v>
      </c>
      <c r="G286">
        <v>2328.3419023136248</v>
      </c>
    </row>
    <row r="287" spans="1:7" x14ac:dyDescent="0.2">
      <c r="A287" t="s">
        <v>188</v>
      </c>
      <c r="B287" s="91" t="s">
        <v>165</v>
      </c>
      <c r="C287" t="s">
        <v>162</v>
      </c>
      <c r="D287" t="s">
        <v>163</v>
      </c>
      <c r="E287" s="35">
        <v>1767001</v>
      </c>
      <c r="F287" s="1">
        <v>709</v>
      </c>
      <c r="G287">
        <v>2492.244005641749</v>
      </c>
    </row>
    <row r="288" spans="1:7" x14ac:dyDescent="0.2">
      <c r="A288" t="s">
        <v>188</v>
      </c>
      <c r="B288" s="91" t="s">
        <v>166</v>
      </c>
      <c r="C288" t="s">
        <v>162</v>
      </c>
      <c r="D288" t="s">
        <v>163</v>
      </c>
      <c r="E288" s="35">
        <v>1718329</v>
      </c>
      <c r="F288" s="1">
        <v>662</v>
      </c>
      <c r="G288">
        <v>2595.6631419939577</v>
      </c>
    </row>
    <row r="289" spans="1:7" x14ac:dyDescent="0.2">
      <c r="A289" t="s">
        <v>188</v>
      </c>
      <c r="B289" s="91" t="s">
        <v>167</v>
      </c>
      <c r="C289" t="s">
        <v>162</v>
      </c>
      <c r="D289" t="s">
        <v>163</v>
      </c>
      <c r="E289" s="35">
        <v>1791589</v>
      </c>
      <c r="F289" s="1">
        <v>759</v>
      </c>
      <c r="G289">
        <v>2360.459815546772</v>
      </c>
    </row>
    <row r="290" spans="1:7" x14ac:dyDescent="0.2">
      <c r="A290" t="s">
        <v>188</v>
      </c>
      <c r="B290" s="91" t="s">
        <v>168</v>
      </c>
      <c r="C290" t="s">
        <v>162</v>
      </c>
      <c r="D290" t="s">
        <v>163</v>
      </c>
      <c r="E290" s="35">
        <v>1934006</v>
      </c>
      <c r="F290" s="1">
        <v>912</v>
      </c>
      <c r="G290">
        <v>2120.6206140350878</v>
      </c>
    </row>
    <row r="291" spans="1:7" x14ac:dyDescent="0.2">
      <c r="A291" t="s">
        <v>188</v>
      </c>
      <c r="B291" s="91" t="s">
        <v>169</v>
      </c>
      <c r="C291" t="s">
        <v>162</v>
      </c>
      <c r="D291" t="s">
        <v>163</v>
      </c>
      <c r="E291" s="35">
        <v>1873478</v>
      </c>
      <c r="F291" s="1">
        <v>793</v>
      </c>
      <c r="G291">
        <v>2362.5195460277428</v>
      </c>
    </row>
    <row r="292" spans="1:7" x14ac:dyDescent="0.2">
      <c r="A292" t="s">
        <v>188</v>
      </c>
      <c r="B292" s="91" t="s">
        <v>170</v>
      </c>
      <c r="C292" t="s">
        <v>171</v>
      </c>
      <c r="D292" t="s">
        <v>172</v>
      </c>
      <c r="E292" s="35">
        <v>1865459</v>
      </c>
      <c r="F292" s="1">
        <v>781</v>
      </c>
      <c r="G292">
        <v>2388.5518565941102</v>
      </c>
    </row>
    <row r="293" spans="1:7" x14ac:dyDescent="0.2">
      <c r="A293" t="s">
        <v>188</v>
      </c>
      <c r="B293" s="91" t="s">
        <v>173</v>
      </c>
      <c r="C293" t="s">
        <v>171</v>
      </c>
      <c r="D293" t="s">
        <v>172</v>
      </c>
      <c r="E293" s="35">
        <v>1811450</v>
      </c>
      <c r="F293" s="1">
        <v>778</v>
      </c>
      <c r="G293">
        <v>2328.3419023136248</v>
      </c>
    </row>
    <row r="294" spans="1:7" x14ac:dyDescent="0.2">
      <c r="A294" t="s">
        <v>188</v>
      </c>
      <c r="B294" s="91" t="s">
        <v>174</v>
      </c>
      <c r="C294" t="s">
        <v>171</v>
      </c>
      <c r="D294" t="s">
        <v>172</v>
      </c>
      <c r="E294" s="35">
        <v>1767001</v>
      </c>
      <c r="F294" s="1">
        <v>709</v>
      </c>
      <c r="G294">
        <v>2492.244005641749</v>
      </c>
    </row>
    <row r="295" spans="1:7" x14ac:dyDescent="0.2">
      <c r="A295" t="s">
        <v>188</v>
      </c>
      <c r="B295" s="91" t="s">
        <v>175</v>
      </c>
      <c r="C295" t="s">
        <v>171</v>
      </c>
      <c r="D295" t="s">
        <v>172</v>
      </c>
      <c r="E295" s="35">
        <v>1718329</v>
      </c>
      <c r="F295" s="1">
        <v>662</v>
      </c>
      <c r="G295">
        <v>2595.6631419939577</v>
      </c>
    </row>
    <row r="296" spans="1:7" x14ac:dyDescent="0.2">
      <c r="A296" t="s">
        <v>188</v>
      </c>
      <c r="B296" s="91" t="s">
        <v>176</v>
      </c>
      <c r="C296" t="s">
        <v>171</v>
      </c>
      <c r="D296" t="s">
        <v>172</v>
      </c>
      <c r="E296" s="35">
        <v>1791589</v>
      </c>
      <c r="F296" s="1">
        <v>759</v>
      </c>
      <c r="G296">
        <v>2360.459815546772</v>
      </c>
    </row>
    <row r="297" spans="1:7" x14ac:dyDescent="0.2">
      <c r="A297" t="s">
        <v>188</v>
      </c>
      <c r="B297" s="91" t="s">
        <v>177</v>
      </c>
      <c r="C297" t="s">
        <v>171</v>
      </c>
      <c r="D297" t="s">
        <v>172</v>
      </c>
      <c r="E297" s="35">
        <v>1934006</v>
      </c>
      <c r="F297" s="1">
        <v>912</v>
      </c>
      <c r="G297">
        <v>2120.6206140350878</v>
      </c>
    </row>
    <row r="298" spans="1:7" x14ac:dyDescent="0.2">
      <c r="A298" t="s">
        <v>188</v>
      </c>
      <c r="B298" s="91" t="s">
        <v>178</v>
      </c>
      <c r="C298" t="s">
        <v>171</v>
      </c>
      <c r="D298" t="s">
        <v>172</v>
      </c>
      <c r="E298" s="35">
        <v>1873478</v>
      </c>
      <c r="F298" s="1">
        <v>793</v>
      </c>
      <c r="G298">
        <v>2362.5195460277428</v>
      </c>
    </row>
    <row r="299" spans="1:7" x14ac:dyDescent="0.2">
      <c r="A299" t="s">
        <v>188</v>
      </c>
      <c r="B299" s="91" t="s">
        <v>179</v>
      </c>
      <c r="C299" t="s">
        <v>180</v>
      </c>
      <c r="D299" t="s">
        <v>181</v>
      </c>
      <c r="E299" s="35">
        <v>1865459</v>
      </c>
      <c r="F299" s="1">
        <v>781</v>
      </c>
      <c r="G299">
        <v>2388.5518565941102</v>
      </c>
    </row>
    <row r="300" spans="1:7" x14ac:dyDescent="0.2">
      <c r="A300" t="s">
        <v>188</v>
      </c>
      <c r="B300" s="91" t="s">
        <v>182</v>
      </c>
      <c r="C300" t="s">
        <v>180</v>
      </c>
      <c r="D300" t="s">
        <v>181</v>
      </c>
      <c r="E300" s="35">
        <v>1811450</v>
      </c>
      <c r="F300" s="1">
        <v>778</v>
      </c>
      <c r="G300">
        <v>2328.3419023136248</v>
      </c>
    </row>
    <row r="301" spans="1:7" x14ac:dyDescent="0.2">
      <c r="A301" t="s">
        <v>188</v>
      </c>
      <c r="B301" s="91" t="s">
        <v>191</v>
      </c>
      <c r="C301" t="s">
        <v>180</v>
      </c>
      <c r="D301" t="s">
        <v>181</v>
      </c>
      <c r="E301" s="35">
        <v>1767001</v>
      </c>
      <c r="F301" s="1">
        <v>708</v>
      </c>
      <c r="G301">
        <v>2495.7641242937852</v>
      </c>
    </row>
    <row r="302" spans="1:7" x14ac:dyDescent="0.2">
      <c r="A302" t="s">
        <v>188</v>
      </c>
      <c r="B302" s="91" t="s">
        <v>192</v>
      </c>
      <c r="C302" t="s">
        <v>180</v>
      </c>
      <c r="D302" t="s">
        <v>181</v>
      </c>
      <c r="E302" s="35">
        <v>1718329</v>
      </c>
      <c r="F302" s="1">
        <v>662</v>
      </c>
      <c r="G302">
        <v>2595.6631419939577</v>
      </c>
    </row>
    <row r="303" spans="1:7" x14ac:dyDescent="0.2">
      <c r="A303" t="s">
        <v>188</v>
      </c>
      <c r="B303" s="91" t="s">
        <v>193</v>
      </c>
      <c r="C303" t="s">
        <v>180</v>
      </c>
      <c r="D303" t="s">
        <v>181</v>
      </c>
      <c r="E303" s="35">
        <v>1791589</v>
      </c>
      <c r="F303" s="1">
        <v>759</v>
      </c>
      <c r="G303">
        <v>2360.459815546772</v>
      </c>
    </row>
    <row r="304" spans="1:7" x14ac:dyDescent="0.2">
      <c r="A304" t="s">
        <v>188</v>
      </c>
      <c r="B304" s="91" t="s">
        <v>194</v>
      </c>
      <c r="C304" t="s">
        <v>180</v>
      </c>
      <c r="D304" t="s">
        <v>181</v>
      </c>
      <c r="E304" s="35">
        <v>1934006</v>
      </c>
      <c r="F304" s="1">
        <v>912</v>
      </c>
      <c r="G304">
        <v>2120.6206140350878</v>
      </c>
    </row>
    <row r="305" spans="1:7" x14ac:dyDescent="0.2">
      <c r="A305" t="s">
        <v>188</v>
      </c>
      <c r="B305" s="91" t="s">
        <v>195</v>
      </c>
      <c r="C305" t="s">
        <v>180</v>
      </c>
      <c r="D305" t="s">
        <v>181</v>
      </c>
      <c r="E305" s="35">
        <v>1873478</v>
      </c>
      <c r="F305" s="1">
        <v>793</v>
      </c>
      <c r="G305">
        <v>2362.5195460277428</v>
      </c>
    </row>
    <row r="306" spans="1:7" x14ac:dyDescent="0.2">
      <c r="A306" t="s">
        <v>188</v>
      </c>
      <c r="B306" s="91" t="s">
        <v>196</v>
      </c>
      <c r="C306" t="s">
        <v>197</v>
      </c>
      <c r="D306" t="s">
        <v>198</v>
      </c>
      <c r="E306" s="35">
        <v>1865459</v>
      </c>
      <c r="F306" s="1">
        <v>781</v>
      </c>
      <c r="G306">
        <v>2388.5518565941102</v>
      </c>
    </row>
    <row r="307" spans="1:7" x14ac:dyDescent="0.2">
      <c r="A307" t="s">
        <v>188</v>
      </c>
      <c r="B307" s="91" t="s">
        <v>199</v>
      </c>
      <c r="C307" t="s">
        <v>197</v>
      </c>
      <c r="D307" t="s">
        <v>198</v>
      </c>
      <c r="E307" s="35">
        <v>1811423</v>
      </c>
      <c r="F307" s="1">
        <v>778</v>
      </c>
      <c r="G307">
        <v>2328.3071979434449</v>
      </c>
    </row>
    <row r="308" spans="1:7" x14ac:dyDescent="0.2">
      <c r="A308" t="s">
        <v>188</v>
      </c>
      <c r="B308" s="91">
        <v>45890</v>
      </c>
      <c r="C308" t="s">
        <v>197</v>
      </c>
      <c r="D308" t="s">
        <v>198</v>
      </c>
      <c r="E308" s="35">
        <v>1686155</v>
      </c>
      <c r="F308">
        <v>756</v>
      </c>
      <c r="G308" s="90">
        <v>2230.3637566137568</v>
      </c>
    </row>
    <row r="309" spans="1:7" x14ac:dyDescent="0.2">
      <c r="A309" t="s">
        <v>188</v>
      </c>
      <c r="B309" s="91">
        <v>45891</v>
      </c>
      <c r="C309" t="s">
        <v>197</v>
      </c>
      <c r="D309" t="s">
        <v>198</v>
      </c>
      <c r="E309" s="35">
        <v>1648966</v>
      </c>
      <c r="F309">
        <v>712</v>
      </c>
      <c r="G309" s="90">
        <v>2315.9634831460676</v>
      </c>
    </row>
    <row r="310" spans="1:7" x14ac:dyDescent="0.2">
      <c r="A310" t="s">
        <v>188</v>
      </c>
      <c r="B310" s="91">
        <v>45892</v>
      </c>
      <c r="C310" t="s">
        <v>197</v>
      </c>
      <c r="D310" t="s">
        <v>198</v>
      </c>
      <c r="E310" s="35">
        <v>1708580</v>
      </c>
      <c r="F310">
        <v>792</v>
      </c>
      <c r="G310" s="90">
        <v>2157.2979797979797</v>
      </c>
    </row>
    <row r="311" spans="1:7" x14ac:dyDescent="0.2">
      <c r="A311" t="s">
        <v>188</v>
      </c>
      <c r="B311" s="91">
        <v>45893</v>
      </c>
      <c r="C311" t="s">
        <v>197</v>
      </c>
      <c r="D311" t="s">
        <v>198</v>
      </c>
      <c r="E311" s="35">
        <v>1813863</v>
      </c>
      <c r="F311">
        <v>919</v>
      </c>
      <c r="G311" s="90">
        <v>1973.7355821545157</v>
      </c>
    </row>
    <row r="312" spans="1:7" x14ac:dyDescent="0.2">
      <c r="A312" t="s">
        <v>188</v>
      </c>
      <c r="B312" s="91">
        <v>45894</v>
      </c>
      <c r="C312" t="s">
        <v>197</v>
      </c>
      <c r="D312" t="s">
        <v>198</v>
      </c>
      <c r="E312" s="35">
        <v>1751656</v>
      </c>
      <c r="F312">
        <v>818</v>
      </c>
      <c r="G312" s="90">
        <v>2141.3887530562347</v>
      </c>
    </row>
    <row r="313" spans="1:7" x14ac:dyDescent="0.2">
      <c r="A313" t="s">
        <v>188</v>
      </c>
      <c r="B313" s="91">
        <v>45895</v>
      </c>
      <c r="C313" t="s">
        <v>200</v>
      </c>
      <c r="D313" t="s">
        <v>201</v>
      </c>
      <c r="E313" s="35">
        <v>1755362</v>
      </c>
      <c r="F313">
        <v>811</v>
      </c>
      <c r="G313" s="90">
        <v>2164.4414303329222</v>
      </c>
    </row>
    <row r="314" spans="1:7" x14ac:dyDescent="0.2">
      <c r="A314" t="s">
        <v>188</v>
      </c>
      <c r="B314" s="91">
        <v>45896</v>
      </c>
      <c r="C314" t="s">
        <v>200</v>
      </c>
      <c r="D314" t="s">
        <v>201</v>
      </c>
      <c r="E314" s="35">
        <v>1710942</v>
      </c>
      <c r="F314">
        <v>806</v>
      </c>
      <c r="G314" s="90">
        <v>2122.7568238213398</v>
      </c>
    </row>
    <row r="315" spans="1:7" x14ac:dyDescent="0.2">
      <c r="A315" t="s">
        <v>188</v>
      </c>
      <c r="B315" s="91">
        <v>45897</v>
      </c>
      <c r="C315" t="s">
        <v>200</v>
      </c>
      <c r="D315" t="s">
        <v>201</v>
      </c>
      <c r="E315" s="35">
        <v>1688361</v>
      </c>
      <c r="F315">
        <v>758</v>
      </c>
      <c r="G315" s="90">
        <v>2227.3891820580475</v>
      </c>
    </row>
    <row r="316" spans="1:7" x14ac:dyDescent="0.2">
      <c r="A316" t="s">
        <v>188</v>
      </c>
      <c r="B316" s="91">
        <v>45898</v>
      </c>
      <c r="C316" t="s">
        <v>200</v>
      </c>
      <c r="D316" t="s">
        <v>201</v>
      </c>
      <c r="E316" s="35">
        <v>1648966</v>
      </c>
      <c r="F316">
        <v>712</v>
      </c>
      <c r="G316" s="90">
        <v>2315.9634831460676</v>
      </c>
    </row>
    <row r="317" spans="1:7" x14ac:dyDescent="0.2">
      <c r="A317" t="s">
        <v>188</v>
      </c>
      <c r="B317" s="91">
        <v>45899</v>
      </c>
      <c r="C317" t="s">
        <v>200</v>
      </c>
      <c r="D317" t="s">
        <v>201</v>
      </c>
      <c r="E317" s="35">
        <v>1708580</v>
      </c>
      <c r="F317">
        <v>792</v>
      </c>
      <c r="G317" s="90">
        <v>2157.2979797979797</v>
      </c>
    </row>
    <row r="318" spans="1:7" x14ac:dyDescent="0.2">
      <c r="A318" t="s">
        <v>188</v>
      </c>
      <c r="B318" s="91">
        <v>45900</v>
      </c>
      <c r="C318" t="s">
        <v>200</v>
      </c>
      <c r="D318" t="s">
        <v>201</v>
      </c>
      <c r="E318" s="35">
        <v>1813863</v>
      </c>
      <c r="F318">
        <v>919</v>
      </c>
      <c r="G318" s="90">
        <v>1973.7355821545157</v>
      </c>
    </row>
    <row r="319" spans="1:7" x14ac:dyDescent="0.2">
      <c r="A319" t="s">
        <v>188</v>
      </c>
      <c r="B319" s="91">
        <v>45901</v>
      </c>
      <c r="C319" t="s">
        <v>200</v>
      </c>
      <c r="D319" t="s">
        <v>201</v>
      </c>
      <c r="E319" s="35">
        <v>1751656</v>
      </c>
      <c r="F319">
        <v>818</v>
      </c>
      <c r="G319" s="90">
        <v>2141.3887530562347</v>
      </c>
    </row>
    <row r="320" spans="1:7" x14ac:dyDescent="0.2">
      <c r="A320" t="s">
        <v>188</v>
      </c>
      <c r="B320" s="91">
        <v>45902</v>
      </c>
      <c r="C320" t="s">
        <v>202</v>
      </c>
      <c r="D320" t="s">
        <v>203</v>
      </c>
      <c r="E320" s="35">
        <v>1755362</v>
      </c>
      <c r="F320">
        <v>811</v>
      </c>
      <c r="G320" s="90">
        <v>2164.4414303329222</v>
      </c>
    </row>
    <row r="321" spans="1:7" x14ac:dyDescent="0.2">
      <c r="A321" t="s">
        <v>188</v>
      </c>
      <c r="B321" s="91">
        <v>45903</v>
      </c>
      <c r="C321" t="s">
        <v>202</v>
      </c>
      <c r="D321" t="s">
        <v>203</v>
      </c>
      <c r="E321" s="35">
        <v>1710942</v>
      </c>
      <c r="F321">
        <v>806</v>
      </c>
      <c r="G321" s="90">
        <v>2122.7568238213398</v>
      </c>
    </row>
    <row r="322" spans="1:7" x14ac:dyDescent="0.2">
      <c r="A322" t="s">
        <v>188</v>
      </c>
      <c r="B322" s="91">
        <v>45904</v>
      </c>
      <c r="C322" t="s">
        <v>202</v>
      </c>
      <c r="D322" t="s">
        <v>203</v>
      </c>
      <c r="E322" s="35">
        <v>1688361</v>
      </c>
      <c r="F322">
        <v>758</v>
      </c>
      <c r="G322" s="90">
        <v>2227.3891820580475</v>
      </c>
    </row>
    <row r="323" spans="1:7" x14ac:dyDescent="0.2">
      <c r="A323" t="s">
        <v>188</v>
      </c>
      <c r="B323" s="91">
        <v>45905</v>
      </c>
      <c r="C323" t="s">
        <v>202</v>
      </c>
      <c r="D323" t="s">
        <v>203</v>
      </c>
      <c r="E323" s="35">
        <v>1648966</v>
      </c>
      <c r="F323">
        <v>712</v>
      </c>
      <c r="G323" s="90">
        <v>2315.9634831460676</v>
      </c>
    </row>
    <row r="324" spans="1:7" x14ac:dyDescent="0.2">
      <c r="A324" t="s">
        <v>188</v>
      </c>
      <c r="B324" s="91">
        <v>45906</v>
      </c>
      <c r="C324" t="s">
        <v>202</v>
      </c>
      <c r="D324" t="s">
        <v>203</v>
      </c>
      <c r="E324" s="35">
        <v>1708580</v>
      </c>
      <c r="F324">
        <v>792</v>
      </c>
      <c r="G324" s="90">
        <v>2157.2979797979797</v>
      </c>
    </row>
    <row r="325" spans="1:7" x14ac:dyDescent="0.2">
      <c r="A325" t="s">
        <v>188</v>
      </c>
      <c r="B325" s="91">
        <v>45907</v>
      </c>
      <c r="C325" t="s">
        <v>202</v>
      </c>
      <c r="D325" t="s">
        <v>203</v>
      </c>
      <c r="E325" s="35">
        <v>1813863</v>
      </c>
      <c r="F325">
        <v>920</v>
      </c>
      <c r="G325" s="90">
        <v>1971.5902173913043</v>
      </c>
    </row>
    <row r="326" spans="1:7" x14ac:dyDescent="0.2">
      <c r="A326" t="s">
        <v>188</v>
      </c>
      <c r="B326" s="91">
        <v>45908</v>
      </c>
      <c r="C326" t="s">
        <v>202</v>
      </c>
      <c r="D326" t="s">
        <v>203</v>
      </c>
      <c r="E326" s="35">
        <v>1751656</v>
      </c>
      <c r="F326">
        <v>818</v>
      </c>
      <c r="G326" s="90">
        <v>2141.3887530562347</v>
      </c>
    </row>
    <row r="327" spans="1:7" x14ac:dyDescent="0.2">
      <c r="A327" t="s">
        <v>188</v>
      </c>
      <c r="B327" s="91">
        <v>45909</v>
      </c>
      <c r="C327" t="s">
        <v>204</v>
      </c>
      <c r="D327" t="s">
        <v>205</v>
      </c>
      <c r="E327" s="35">
        <v>1755662</v>
      </c>
      <c r="F327">
        <v>812</v>
      </c>
      <c r="G327" s="90">
        <v>2162.1453201970444</v>
      </c>
    </row>
    <row r="328" spans="1:7" x14ac:dyDescent="0.2">
      <c r="A328" t="s">
        <v>188</v>
      </c>
      <c r="B328" s="91">
        <v>45910</v>
      </c>
      <c r="C328" t="s">
        <v>204</v>
      </c>
      <c r="D328" t="s">
        <v>205</v>
      </c>
      <c r="E328" s="35">
        <v>1711242</v>
      </c>
      <c r="F328">
        <v>806</v>
      </c>
      <c r="G328" s="90">
        <v>2123.1290322580644</v>
      </c>
    </row>
    <row r="329" spans="1:7" x14ac:dyDescent="0.2">
      <c r="A329" t="s">
        <v>188</v>
      </c>
      <c r="B329" s="91">
        <v>45911</v>
      </c>
      <c r="C329" t="s">
        <v>204</v>
      </c>
      <c r="D329" t="s">
        <v>205</v>
      </c>
      <c r="E329" s="35">
        <v>1688661</v>
      </c>
      <c r="F329">
        <v>759</v>
      </c>
      <c r="G329" s="90">
        <v>2224.8498023715415</v>
      </c>
    </row>
    <row r="330" spans="1:7" x14ac:dyDescent="0.2">
      <c r="A330" t="s">
        <v>188</v>
      </c>
      <c r="B330" s="91">
        <v>45912</v>
      </c>
      <c r="C330" t="s">
        <v>204</v>
      </c>
      <c r="D330" t="s">
        <v>205</v>
      </c>
      <c r="E330" s="35">
        <v>1649266</v>
      </c>
      <c r="F330">
        <v>713</v>
      </c>
      <c r="G330" s="90">
        <v>2313.1360448807854</v>
      </c>
    </row>
    <row r="331" spans="1:7" x14ac:dyDescent="0.2">
      <c r="A331" t="s">
        <v>188</v>
      </c>
      <c r="B331" s="91">
        <v>45913</v>
      </c>
      <c r="C331" t="s">
        <v>204</v>
      </c>
      <c r="D331" t="s">
        <v>205</v>
      </c>
      <c r="E331" s="35">
        <v>1708880</v>
      </c>
      <c r="F331">
        <v>792</v>
      </c>
      <c r="G331" s="90">
        <v>2157.6767676767677</v>
      </c>
    </row>
    <row r="332" spans="1:7" x14ac:dyDescent="0.2">
      <c r="A332" t="s">
        <v>188</v>
      </c>
      <c r="B332" s="91">
        <v>45914</v>
      </c>
      <c r="C332" t="s">
        <v>204</v>
      </c>
      <c r="D332" t="s">
        <v>205</v>
      </c>
      <c r="E332" s="35">
        <v>1814163</v>
      </c>
      <c r="F332">
        <v>920</v>
      </c>
      <c r="G332" s="90">
        <v>1971.9163043478261</v>
      </c>
    </row>
    <row r="333" spans="1:7" x14ac:dyDescent="0.2">
      <c r="A333" t="s">
        <v>188</v>
      </c>
      <c r="B333" s="91">
        <v>45915</v>
      </c>
      <c r="C333" t="s">
        <v>204</v>
      </c>
      <c r="D333" t="s">
        <v>205</v>
      </c>
      <c r="E333" s="35">
        <v>1751956</v>
      </c>
      <c r="F333">
        <v>818</v>
      </c>
      <c r="G333" s="90">
        <v>2141.7555012224939</v>
      </c>
    </row>
    <row r="334" spans="1:7" x14ac:dyDescent="0.2">
      <c r="A334" t="s">
        <v>188</v>
      </c>
      <c r="B334" s="91">
        <v>45916</v>
      </c>
      <c r="E334" s="35">
        <v>1755662</v>
      </c>
      <c r="F334">
        <v>812</v>
      </c>
      <c r="G334" s="90">
        <v>2162.1453201970444</v>
      </c>
    </row>
    <row r="335" spans="1:7" x14ac:dyDescent="0.2">
      <c r="A335" t="s">
        <v>188</v>
      </c>
      <c r="B335" s="91">
        <v>45917</v>
      </c>
      <c r="E335" s="35">
        <v>1711242</v>
      </c>
      <c r="F335">
        <v>806</v>
      </c>
      <c r="G335" s="90">
        <v>2123.1290322580644</v>
      </c>
    </row>
    <row r="336" spans="1:7" x14ac:dyDescent="0.2">
      <c r="A336" t="s">
        <v>188</v>
      </c>
      <c r="B336" s="91">
        <v>45918</v>
      </c>
      <c r="E336" s="35">
        <v>1688661</v>
      </c>
      <c r="F336">
        <v>759</v>
      </c>
      <c r="G336" s="90">
        <v>2224.8498023715415</v>
      </c>
    </row>
  </sheetData>
  <autoFilter ref="A1:G307" xr:uid="{00000000-0001-0000-0000-000000000000}"/>
  <phoneticPr fontId="1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1"/>
  <sheetViews>
    <sheetView workbookViewId="0">
      <selection activeCell="C31" sqref="C31"/>
    </sheetView>
  </sheetViews>
  <sheetFormatPr defaultRowHeight="13.2" x14ac:dyDescent="0.2"/>
  <cols>
    <col min="1" max="1" width="8" customWidth="1"/>
    <col min="2" max="2" width="9" customWidth="1"/>
    <col min="3" max="3" width="8" customWidth="1"/>
    <col min="4" max="4" width="20" customWidth="1"/>
    <col min="5" max="5" width="10" customWidth="1"/>
  </cols>
  <sheetData>
    <row r="1" spans="1:5" x14ac:dyDescent="0.2">
      <c r="A1" t="s">
        <v>3</v>
      </c>
      <c r="B1" t="s">
        <v>1</v>
      </c>
      <c r="C1" t="s">
        <v>206</v>
      </c>
      <c r="D1" t="s">
        <v>207</v>
      </c>
      <c r="E1" t="s">
        <v>7</v>
      </c>
    </row>
    <row r="2" spans="1:5" x14ac:dyDescent="0.2">
      <c r="A2" t="s">
        <v>20</v>
      </c>
      <c r="B2" t="s">
        <v>9</v>
      </c>
      <c r="C2">
        <v>2489</v>
      </c>
      <c r="D2">
        <v>15533688.46934117</v>
      </c>
      <c r="E2">
        <v>6240.94</v>
      </c>
    </row>
    <row r="3" spans="1:5" x14ac:dyDescent="0.2">
      <c r="A3" t="s">
        <v>20</v>
      </c>
      <c r="B3" t="s">
        <v>186</v>
      </c>
      <c r="C3">
        <v>5</v>
      </c>
      <c r="D3">
        <v>0</v>
      </c>
      <c r="E3">
        <v>0</v>
      </c>
    </row>
    <row r="4" spans="1:5" x14ac:dyDescent="0.2">
      <c r="A4" t="s">
        <v>20</v>
      </c>
      <c r="B4" t="s">
        <v>188</v>
      </c>
      <c r="C4">
        <v>3774</v>
      </c>
      <c r="D4">
        <v>10361431</v>
      </c>
      <c r="E4">
        <v>2745.48</v>
      </c>
    </row>
    <row r="5" spans="1:5" x14ac:dyDescent="0.2">
      <c r="A5" t="s">
        <v>20</v>
      </c>
      <c r="B5" t="s">
        <v>190</v>
      </c>
      <c r="C5">
        <v>6268</v>
      </c>
      <c r="D5">
        <v>25895119.46934117</v>
      </c>
      <c r="E5">
        <v>4131.32</v>
      </c>
    </row>
    <row r="6" spans="1:5" x14ac:dyDescent="0.2">
      <c r="A6" t="s">
        <v>29</v>
      </c>
      <c r="B6" t="s">
        <v>9</v>
      </c>
      <c r="C6">
        <v>2229</v>
      </c>
      <c r="D6">
        <v>14136034.42405189</v>
      </c>
      <c r="E6">
        <v>6341.87</v>
      </c>
    </row>
    <row r="7" spans="1:5" x14ac:dyDescent="0.2">
      <c r="A7" t="s">
        <v>29</v>
      </c>
      <c r="B7" t="s">
        <v>186</v>
      </c>
      <c r="C7">
        <v>5</v>
      </c>
      <c r="D7">
        <v>0</v>
      </c>
      <c r="E7">
        <v>0</v>
      </c>
    </row>
    <row r="8" spans="1:5" x14ac:dyDescent="0.2">
      <c r="A8" t="s">
        <v>29</v>
      </c>
      <c r="B8" t="s">
        <v>188</v>
      </c>
      <c r="C8">
        <v>3645</v>
      </c>
      <c r="D8">
        <v>8128556.6842105258</v>
      </c>
      <c r="E8">
        <v>2230.06</v>
      </c>
    </row>
    <row r="9" spans="1:5" x14ac:dyDescent="0.2">
      <c r="A9" t="s">
        <v>29</v>
      </c>
      <c r="B9" t="s">
        <v>190</v>
      </c>
      <c r="C9">
        <v>5879</v>
      </c>
      <c r="D9">
        <v>22264591.108262409</v>
      </c>
      <c r="E9">
        <v>3787.14</v>
      </c>
    </row>
    <row r="10" spans="1:5" x14ac:dyDescent="0.2">
      <c r="A10" t="s">
        <v>38</v>
      </c>
      <c r="B10" t="s">
        <v>9</v>
      </c>
      <c r="C10">
        <v>2188</v>
      </c>
      <c r="D10">
        <v>14105950</v>
      </c>
      <c r="E10">
        <v>6446.96</v>
      </c>
    </row>
    <row r="11" spans="1:5" x14ac:dyDescent="0.2">
      <c r="A11" t="s">
        <v>38</v>
      </c>
      <c r="B11" t="s">
        <v>186</v>
      </c>
      <c r="C11">
        <v>178</v>
      </c>
      <c r="D11">
        <v>0</v>
      </c>
      <c r="E11">
        <v>0</v>
      </c>
    </row>
    <row r="12" spans="1:5" x14ac:dyDescent="0.2">
      <c r="A12" t="s">
        <v>38</v>
      </c>
      <c r="B12" t="s">
        <v>188</v>
      </c>
      <c r="C12">
        <v>4118</v>
      </c>
      <c r="D12">
        <v>8493026.1052631587</v>
      </c>
      <c r="E12">
        <v>2062.42</v>
      </c>
    </row>
    <row r="13" spans="1:5" x14ac:dyDescent="0.2">
      <c r="A13" t="s">
        <v>38</v>
      </c>
      <c r="B13" t="s">
        <v>190</v>
      </c>
      <c r="C13">
        <v>6484</v>
      </c>
      <c r="D13">
        <v>22598976.105263159</v>
      </c>
      <c r="E13">
        <v>3485.34</v>
      </c>
    </row>
    <row r="14" spans="1:5" x14ac:dyDescent="0.2">
      <c r="A14" t="s">
        <v>47</v>
      </c>
      <c r="B14" t="s">
        <v>9</v>
      </c>
      <c r="C14">
        <v>2396</v>
      </c>
      <c r="D14">
        <v>15665940.55511388</v>
      </c>
      <c r="E14">
        <v>6538.37</v>
      </c>
    </row>
    <row r="15" spans="1:5" x14ac:dyDescent="0.2">
      <c r="A15" t="s">
        <v>47</v>
      </c>
      <c r="B15" t="s">
        <v>186</v>
      </c>
      <c r="C15">
        <v>51</v>
      </c>
      <c r="D15">
        <v>0</v>
      </c>
      <c r="E15">
        <v>0</v>
      </c>
    </row>
    <row r="16" spans="1:5" x14ac:dyDescent="0.2">
      <c r="A16" t="s">
        <v>47</v>
      </c>
      <c r="B16" t="s">
        <v>188</v>
      </c>
      <c r="C16">
        <v>4726</v>
      </c>
      <c r="D16">
        <v>11605499.14736842</v>
      </c>
      <c r="E16">
        <v>2455.67</v>
      </c>
    </row>
    <row r="17" spans="1:5" x14ac:dyDescent="0.2">
      <c r="A17" t="s">
        <v>47</v>
      </c>
      <c r="B17" t="s">
        <v>190</v>
      </c>
      <c r="C17">
        <v>7173</v>
      </c>
      <c r="D17">
        <v>27271439.702482302</v>
      </c>
      <c r="E17">
        <v>3801.96</v>
      </c>
    </row>
    <row r="18" spans="1:5" x14ac:dyDescent="0.2">
      <c r="A18" t="s">
        <v>56</v>
      </c>
      <c r="B18" t="s">
        <v>9</v>
      </c>
      <c r="C18">
        <v>3201</v>
      </c>
      <c r="D18">
        <v>20335718.14112217</v>
      </c>
      <c r="E18">
        <v>6352.93</v>
      </c>
    </row>
    <row r="19" spans="1:5" x14ac:dyDescent="0.2">
      <c r="A19" t="s">
        <v>56</v>
      </c>
      <c r="B19" t="s">
        <v>186</v>
      </c>
      <c r="C19">
        <v>13</v>
      </c>
      <c r="D19">
        <v>0</v>
      </c>
      <c r="E19">
        <v>0</v>
      </c>
    </row>
    <row r="20" spans="1:5" x14ac:dyDescent="0.2">
      <c r="A20" t="s">
        <v>56</v>
      </c>
      <c r="B20" t="s">
        <v>188</v>
      </c>
      <c r="C20">
        <v>5011</v>
      </c>
      <c r="D20">
        <v>10170480.25263158</v>
      </c>
      <c r="E20">
        <v>2029.63</v>
      </c>
    </row>
    <row r="21" spans="1:5" x14ac:dyDescent="0.2">
      <c r="A21" t="s">
        <v>56</v>
      </c>
      <c r="B21" t="s">
        <v>190</v>
      </c>
      <c r="C21">
        <v>8225</v>
      </c>
      <c r="D21">
        <v>30506198.393753741</v>
      </c>
      <c r="E21">
        <v>3708.96</v>
      </c>
    </row>
    <row r="22" spans="1:5" x14ac:dyDescent="0.2">
      <c r="A22" t="s">
        <v>65</v>
      </c>
      <c r="B22" t="s">
        <v>9</v>
      </c>
      <c r="C22">
        <v>2223</v>
      </c>
      <c r="D22">
        <v>13739965.990593281</v>
      </c>
      <c r="E22">
        <v>6180.82</v>
      </c>
    </row>
    <row r="23" spans="1:5" x14ac:dyDescent="0.2">
      <c r="A23" t="s">
        <v>65</v>
      </c>
      <c r="B23" t="s">
        <v>186</v>
      </c>
      <c r="C23">
        <v>51</v>
      </c>
      <c r="D23">
        <v>0</v>
      </c>
      <c r="E23">
        <v>0</v>
      </c>
    </row>
    <row r="24" spans="1:5" x14ac:dyDescent="0.2">
      <c r="A24" t="s">
        <v>65</v>
      </c>
      <c r="B24" t="s">
        <v>188</v>
      </c>
      <c r="C24">
        <v>4996</v>
      </c>
      <c r="D24">
        <v>10193145.67368421</v>
      </c>
      <c r="E24">
        <v>2040.26</v>
      </c>
    </row>
    <row r="25" spans="1:5" x14ac:dyDescent="0.2">
      <c r="A25" t="s">
        <v>65</v>
      </c>
      <c r="B25" t="s">
        <v>190</v>
      </c>
      <c r="C25">
        <v>7270</v>
      </c>
      <c r="D25">
        <v>23933111.66427749</v>
      </c>
      <c r="E25">
        <v>3292.04</v>
      </c>
    </row>
    <row r="26" spans="1:5" x14ac:dyDescent="0.2">
      <c r="A26" t="s">
        <v>74</v>
      </c>
      <c r="B26" t="s">
        <v>9</v>
      </c>
      <c r="C26">
        <v>2404</v>
      </c>
      <c r="D26">
        <v>14076282.20858896</v>
      </c>
      <c r="E26">
        <v>5855.36</v>
      </c>
    </row>
    <row r="27" spans="1:5" x14ac:dyDescent="0.2">
      <c r="A27" t="s">
        <v>74</v>
      </c>
      <c r="B27" t="s">
        <v>186</v>
      </c>
      <c r="C27">
        <v>28</v>
      </c>
      <c r="D27">
        <v>0</v>
      </c>
      <c r="E27">
        <v>0</v>
      </c>
    </row>
    <row r="28" spans="1:5" x14ac:dyDescent="0.2">
      <c r="A28" t="s">
        <v>74</v>
      </c>
      <c r="B28" t="s">
        <v>188</v>
      </c>
      <c r="C28">
        <v>4786</v>
      </c>
      <c r="D28">
        <v>12080941.32631579</v>
      </c>
      <c r="E28">
        <v>2524.23</v>
      </c>
    </row>
    <row r="29" spans="1:5" x14ac:dyDescent="0.2">
      <c r="A29" t="s">
        <v>74</v>
      </c>
      <c r="B29" t="s">
        <v>190</v>
      </c>
      <c r="C29">
        <v>7218</v>
      </c>
      <c r="D29">
        <v>26157223.534904748</v>
      </c>
      <c r="E29">
        <v>3623.89</v>
      </c>
    </row>
    <row r="30" spans="1:5" x14ac:dyDescent="0.2">
      <c r="A30" t="s">
        <v>83</v>
      </c>
      <c r="B30" t="s">
        <v>9</v>
      </c>
      <c r="C30">
        <v>2539</v>
      </c>
      <c r="D30">
        <v>16139350</v>
      </c>
      <c r="E30">
        <v>6356.58</v>
      </c>
    </row>
    <row r="31" spans="1:5" x14ac:dyDescent="0.2">
      <c r="A31" t="s">
        <v>83</v>
      </c>
      <c r="B31" t="s">
        <v>186</v>
      </c>
      <c r="C31">
        <v>29</v>
      </c>
      <c r="D31">
        <v>295595</v>
      </c>
      <c r="E31">
        <v>10192.93</v>
      </c>
    </row>
    <row r="32" spans="1:5" x14ac:dyDescent="0.2">
      <c r="A32" t="s">
        <v>83</v>
      </c>
      <c r="B32" t="s">
        <v>188</v>
      </c>
      <c r="C32">
        <v>4245</v>
      </c>
      <c r="D32">
        <v>12437075.08421053</v>
      </c>
      <c r="E32">
        <v>2929.82</v>
      </c>
    </row>
    <row r="33" spans="1:5" x14ac:dyDescent="0.2">
      <c r="A33" t="s">
        <v>83</v>
      </c>
      <c r="B33" t="s">
        <v>190</v>
      </c>
      <c r="C33">
        <v>6813</v>
      </c>
      <c r="D33">
        <v>28872020.08421053</v>
      </c>
      <c r="E33">
        <v>4237.78</v>
      </c>
    </row>
    <row r="34" spans="1:5" x14ac:dyDescent="0.2">
      <c r="A34" t="s">
        <v>92</v>
      </c>
      <c r="B34" t="s">
        <v>9</v>
      </c>
      <c r="C34">
        <v>2461</v>
      </c>
      <c r="D34">
        <v>16243869.622994959</v>
      </c>
      <c r="E34">
        <v>6600.52</v>
      </c>
    </row>
    <row r="35" spans="1:5" x14ac:dyDescent="0.2">
      <c r="A35" t="s">
        <v>92</v>
      </c>
      <c r="B35" t="s">
        <v>186</v>
      </c>
      <c r="C35">
        <v>189</v>
      </c>
      <c r="D35">
        <v>3628740</v>
      </c>
      <c r="E35">
        <v>19199.68</v>
      </c>
    </row>
    <row r="36" spans="1:5" x14ac:dyDescent="0.2">
      <c r="A36" t="s">
        <v>92</v>
      </c>
      <c r="B36" t="s">
        <v>188</v>
      </c>
      <c r="C36">
        <v>4286</v>
      </c>
      <c r="D36">
        <v>10035644.894736839</v>
      </c>
      <c r="E36">
        <v>2341.4899999999998</v>
      </c>
    </row>
    <row r="37" spans="1:5" x14ac:dyDescent="0.2">
      <c r="A37" t="s">
        <v>92</v>
      </c>
      <c r="B37" t="s">
        <v>190</v>
      </c>
      <c r="C37">
        <v>6936</v>
      </c>
      <c r="D37">
        <v>29908254.517731812</v>
      </c>
      <c r="E37">
        <v>4312.03</v>
      </c>
    </row>
    <row r="38" spans="1:5" x14ac:dyDescent="0.2">
      <c r="A38" t="s">
        <v>101</v>
      </c>
      <c r="B38" t="s">
        <v>9</v>
      </c>
      <c r="C38">
        <v>2564</v>
      </c>
      <c r="D38">
        <v>15840462.21183655</v>
      </c>
      <c r="E38">
        <v>6178.03</v>
      </c>
    </row>
    <row r="39" spans="1:5" x14ac:dyDescent="0.2">
      <c r="A39" t="s">
        <v>101</v>
      </c>
      <c r="B39" t="s">
        <v>186</v>
      </c>
      <c r="C39">
        <v>158</v>
      </c>
      <c r="D39">
        <v>3431388</v>
      </c>
      <c r="E39">
        <v>21717.65</v>
      </c>
    </row>
    <row r="40" spans="1:5" x14ac:dyDescent="0.2">
      <c r="A40" t="s">
        <v>101</v>
      </c>
      <c r="B40" t="s">
        <v>188</v>
      </c>
      <c r="C40">
        <v>4536</v>
      </c>
      <c r="D40">
        <v>14760716.578947371</v>
      </c>
      <c r="E40">
        <v>3254.13</v>
      </c>
    </row>
    <row r="41" spans="1:5" x14ac:dyDescent="0.2">
      <c r="A41" t="s">
        <v>101</v>
      </c>
      <c r="B41" t="s">
        <v>190</v>
      </c>
      <c r="C41">
        <v>7258</v>
      </c>
      <c r="D41">
        <v>34032566.790783927</v>
      </c>
      <c r="E41">
        <v>4688.97</v>
      </c>
    </row>
    <row r="42" spans="1:5" x14ac:dyDescent="0.2">
      <c r="A42" t="s">
        <v>126</v>
      </c>
      <c r="B42" t="s">
        <v>9</v>
      </c>
      <c r="C42">
        <v>2461</v>
      </c>
      <c r="D42">
        <v>14713096.553065831</v>
      </c>
      <c r="E42">
        <v>5978.5</v>
      </c>
    </row>
    <row r="43" spans="1:5" x14ac:dyDescent="0.2">
      <c r="A43" t="s">
        <v>126</v>
      </c>
      <c r="B43" t="s">
        <v>186</v>
      </c>
      <c r="C43">
        <v>5</v>
      </c>
      <c r="D43">
        <v>0</v>
      </c>
      <c r="E43">
        <v>0</v>
      </c>
    </row>
    <row r="44" spans="1:5" x14ac:dyDescent="0.2">
      <c r="A44" t="s">
        <v>126</v>
      </c>
      <c r="B44" t="s">
        <v>188</v>
      </c>
      <c r="C44">
        <v>4654</v>
      </c>
      <c r="D44">
        <v>12415722.957894741</v>
      </c>
      <c r="E44">
        <v>2667.75</v>
      </c>
    </row>
    <row r="45" spans="1:5" x14ac:dyDescent="0.2">
      <c r="A45" t="s">
        <v>126</v>
      </c>
      <c r="B45" t="s">
        <v>190</v>
      </c>
      <c r="C45">
        <v>7120</v>
      </c>
      <c r="D45">
        <v>27128819.510960571</v>
      </c>
      <c r="E45">
        <v>3810.23</v>
      </c>
    </row>
    <row r="46" spans="1:5" x14ac:dyDescent="0.2">
      <c r="A46" t="s">
        <v>135</v>
      </c>
      <c r="B46" t="s">
        <v>9</v>
      </c>
      <c r="C46">
        <v>2270</v>
      </c>
      <c r="D46">
        <v>12858417.357395429</v>
      </c>
      <c r="E46">
        <v>5664.5</v>
      </c>
    </row>
    <row r="47" spans="1:5" x14ac:dyDescent="0.2">
      <c r="A47" t="s">
        <v>135</v>
      </c>
      <c r="B47" t="s">
        <v>186</v>
      </c>
      <c r="C47">
        <v>3</v>
      </c>
      <c r="D47">
        <v>0</v>
      </c>
      <c r="E47">
        <v>0</v>
      </c>
    </row>
    <row r="48" spans="1:5" x14ac:dyDescent="0.2">
      <c r="A48" t="s">
        <v>135</v>
      </c>
      <c r="B48" t="s">
        <v>188</v>
      </c>
      <c r="C48">
        <v>4605</v>
      </c>
      <c r="D48">
        <v>9599425.0526315812</v>
      </c>
      <c r="E48">
        <v>2084.5700000000002</v>
      </c>
    </row>
    <row r="49" spans="1:5" x14ac:dyDescent="0.2">
      <c r="A49" t="s">
        <v>135</v>
      </c>
      <c r="B49" t="s">
        <v>190</v>
      </c>
      <c r="C49">
        <v>6878</v>
      </c>
      <c r="D49">
        <v>22457842.410027009</v>
      </c>
      <c r="E49">
        <v>3265.17</v>
      </c>
    </row>
    <row r="50" spans="1:5" x14ac:dyDescent="0.2">
      <c r="A50" t="s">
        <v>144</v>
      </c>
      <c r="B50" t="s">
        <v>9</v>
      </c>
      <c r="C50">
        <v>2317</v>
      </c>
      <c r="D50">
        <v>13128158.4654049</v>
      </c>
      <c r="E50">
        <v>5666.02</v>
      </c>
    </row>
    <row r="51" spans="1:5" x14ac:dyDescent="0.2">
      <c r="A51" t="s">
        <v>144</v>
      </c>
      <c r="B51" t="s">
        <v>186</v>
      </c>
      <c r="C51">
        <v>0</v>
      </c>
      <c r="D51">
        <v>0</v>
      </c>
      <c r="E51">
        <v>0</v>
      </c>
    </row>
    <row r="52" spans="1:5" x14ac:dyDescent="0.2">
      <c r="A52" t="s">
        <v>144</v>
      </c>
      <c r="B52" t="s">
        <v>188</v>
      </c>
      <c r="C52">
        <v>4876</v>
      </c>
      <c r="D52">
        <v>11306517.768421059</v>
      </c>
      <c r="E52">
        <v>2318.81</v>
      </c>
    </row>
    <row r="53" spans="1:5" x14ac:dyDescent="0.2">
      <c r="A53" t="s">
        <v>144</v>
      </c>
      <c r="B53" t="s">
        <v>190</v>
      </c>
      <c r="C53">
        <v>7193</v>
      </c>
      <c r="D53">
        <v>24434676.233825959</v>
      </c>
      <c r="E53">
        <v>3397.01</v>
      </c>
    </row>
    <row r="54" spans="1:5" x14ac:dyDescent="0.2">
      <c r="A54" t="s">
        <v>153</v>
      </c>
      <c r="B54" t="s">
        <v>9</v>
      </c>
      <c r="C54">
        <v>2109</v>
      </c>
      <c r="D54">
        <v>13311990.77813815</v>
      </c>
      <c r="E54">
        <v>6311.99</v>
      </c>
    </row>
    <row r="55" spans="1:5" x14ac:dyDescent="0.2">
      <c r="A55" t="s">
        <v>153</v>
      </c>
      <c r="B55" t="s">
        <v>186</v>
      </c>
      <c r="C55">
        <v>0</v>
      </c>
      <c r="D55">
        <v>0</v>
      </c>
      <c r="E55">
        <v>0</v>
      </c>
    </row>
    <row r="56" spans="1:5" x14ac:dyDescent="0.2">
      <c r="A56" t="s">
        <v>153</v>
      </c>
      <c r="B56" t="s">
        <v>188</v>
      </c>
      <c r="C56">
        <v>5086</v>
      </c>
      <c r="D56">
        <v>10922801.035789469</v>
      </c>
      <c r="E56">
        <v>2147.62</v>
      </c>
    </row>
    <row r="57" spans="1:5" x14ac:dyDescent="0.2">
      <c r="A57" t="s">
        <v>153</v>
      </c>
      <c r="B57" t="s">
        <v>190</v>
      </c>
      <c r="C57">
        <v>7195</v>
      </c>
      <c r="D57">
        <v>24234791.813927621</v>
      </c>
      <c r="E57">
        <v>3368.28</v>
      </c>
    </row>
    <row r="58" spans="1:5" x14ac:dyDescent="0.2">
      <c r="A58" t="s">
        <v>162</v>
      </c>
      <c r="B58" t="s">
        <v>9</v>
      </c>
      <c r="C58">
        <v>2721</v>
      </c>
      <c r="D58">
        <v>17173033.875590231</v>
      </c>
      <c r="E58">
        <v>6311.3</v>
      </c>
    </row>
    <row r="59" spans="1:5" x14ac:dyDescent="0.2">
      <c r="A59" t="s">
        <v>162</v>
      </c>
      <c r="B59" t="s">
        <v>186</v>
      </c>
      <c r="C59">
        <v>0</v>
      </c>
      <c r="D59">
        <v>0</v>
      </c>
      <c r="E59">
        <v>0</v>
      </c>
    </row>
    <row r="60" spans="1:5" x14ac:dyDescent="0.2">
      <c r="A60" t="s">
        <v>162</v>
      </c>
      <c r="B60" t="s">
        <v>188</v>
      </c>
      <c r="C60">
        <v>5273</v>
      </c>
      <c r="D60">
        <v>11532953.78526316</v>
      </c>
      <c r="E60">
        <v>2187.17</v>
      </c>
    </row>
    <row r="61" spans="1:5" x14ac:dyDescent="0.2">
      <c r="A61" t="s">
        <v>162</v>
      </c>
      <c r="B61" t="s">
        <v>190</v>
      </c>
      <c r="C61">
        <v>7994</v>
      </c>
      <c r="D61">
        <v>28705987.66085339</v>
      </c>
      <c r="E61">
        <v>3590.94</v>
      </c>
    </row>
    <row r="62" spans="1:5" x14ac:dyDescent="0.2">
      <c r="A62" t="s">
        <v>171</v>
      </c>
      <c r="B62" t="s">
        <v>9</v>
      </c>
      <c r="C62">
        <v>2592</v>
      </c>
      <c r="D62">
        <v>17172000</v>
      </c>
      <c r="E62">
        <v>6625</v>
      </c>
    </row>
    <row r="63" spans="1:5" x14ac:dyDescent="0.2">
      <c r="A63" t="s">
        <v>171</v>
      </c>
      <c r="B63" t="s">
        <v>186</v>
      </c>
      <c r="C63">
        <v>0</v>
      </c>
      <c r="D63">
        <v>0</v>
      </c>
      <c r="E63">
        <v>0</v>
      </c>
    </row>
    <row r="64" spans="1:5" x14ac:dyDescent="0.2">
      <c r="A64" t="s">
        <v>171</v>
      </c>
      <c r="B64" t="s">
        <v>188</v>
      </c>
      <c r="C64">
        <v>5445</v>
      </c>
      <c r="D64">
        <v>11564973</v>
      </c>
      <c r="E64">
        <v>0</v>
      </c>
    </row>
    <row r="65" spans="1:5" x14ac:dyDescent="0.2">
      <c r="A65" t="s">
        <v>171</v>
      </c>
      <c r="B65" t="s">
        <v>190</v>
      </c>
      <c r="C65">
        <v>8037</v>
      </c>
      <c r="D65">
        <v>17172000</v>
      </c>
      <c r="E65">
        <v>2136.62</v>
      </c>
    </row>
    <row r="66" spans="1:5" x14ac:dyDescent="0.2">
      <c r="A66" t="s">
        <v>180</v>
      </c>
      <c r="B66" t="s">
        <v>9</v>
      </c>
      <c r="C66">
        <v>348</v>
      </c>
      <c r="D66">
        <v>4431800</v>
      </c>
      <c r="E66">
        <v>12735.06</v>
      </c>
    </row>
    <row r="67" spans="1:5" x14ac:dyDescent="0.2">
      <c r="A67" t="s">
        <v>180</v>
      </c>
      <c r="B67" t="s">
        <v>186</v>
      </c>
      <c r="C67">
        <v>0</v>
      </c>
      <c r="D67">
        <v>0</v>
      </c>
      <c r="E67">
        <v>0</v>
      </c>
    </row>
    <row r="68" spans="1:5" x14ac:dyDescent="0.2">
      <c r="A68" t="s">
        <v>180</v>
      </c>
      <c r="B68" t="s">
        <v>188</v>
      </c>
      <c r="C68">
        <v>843</v>
      </c>
      <c r="D68">
        <v>1962812</v>
      </c>
      <c r="E68">
        <v>0</v>
      </c>
    </row>
    <row r="69" spans="1:5" x14ac:dyDescent="0.2">
      <c r="A69" t="s">
        <v>180</v>
      </c>
      <c r="B69" t="s">
        <v>190</v>
      </c>
      <c r="C69">
        <v>1191</v>
      </c>
      <c r="D69">
        <v>4431800</v>
      </c>
      <c r="E69">
        <v>3721.07</v>
      </c>
    </row>
    <row r="70" spans="1:5" x14ac:dyDescent="0.2">
      <c r="A70" t="s">
        <v>11</v>
      </c>
      <c r="B70" t="s">
        <v>9</v>
      </c>
      <c r="C70">
        <v>17007</v>
      </c>
      <c r="D70">
        <v>35947808.332143962</v>
      </c>
      <c r="E70">
        <v>2113.71</v>
      </c>
    </row>
    <row r="71" spans="1:5" x14ac:dyDescent="0.2">
      <c r="A71" t="s">
        <v>11</v>
      </c>
      <c r="B71" t="s">
        <v>186</v>
      </c>
      <c r="C71">
        <v>8664</v>
      </c>
      <c r="D71">
        <v>69136825</v>
      </c>
      <c r="E71">
        <v>7979.78</v>
      </c>
    </row>
    <row r="72" spans="1:5" x14ac:dyDescent="0.2">
      <c r="A72" t="s">
        <v>11</v>
      </c>
      <c r="B72" t="s">
        <v>188</v>
      </c>
      <c r="C72">
        <v>14455</v>
      </c>
      <c r="D72">
        <v>0</v>
      </c>
      <c r="E72">
        <v>0</v>
      </c>
    </row>
    <row r="73" spans="1:5" x14ac:dyDescent="0.2">
      <c r="A73" t="s">
        <v>11</v>
      </c>
      <c r="B73" t="s">
        <v>190</v>
      </c>
      <c r="C73">
        <v>40126</v>
      </c>
      <c r="D73">
        <v>105084633.33214401</v>
      </c>
      <c r="E73">
        <v>2618.87</v>
      </c>
    </row>
    <row r="74" spans="1:5" x14ac:dyDescent="0.2">
      <c r="A74" t="s">
        <v>113</v>
      </c>
      <c r="B74" t="s">
        <v>9</v>
      </c>
      <c r="C74">
        <v>17652</v>
      </c>
      <c r="D74">
        <v>157905688.5091576</v>
      </c>
      <c r="E74">
        <v>8945.48</v>
      </c>
    </row>
    <row r="75" spans="1:5" x14ac:dyDescent="0.2">
      <c r="A75" t="s">
        <v>113</v>
      </c>
      <c r="B75" t="s">
        <v>186</v>
      </c>
      <c r="C75">
        <v>9254</v>
      </c>
      <c r="D75">
        <v>185296664</v>
      </c>
      <c r="E75">
        <v>20023.41</v>
      </c>
    </row>
    <row r="76" spans="1:5" x14ac:dyDescent="0.2">
      <c r="A76" t="s">
        <v>113</v>
      </c>
      <c r="B76" t="s">
        <v>188</v>
      </c>
      <c r="C76">
        <v>16626</v>
      </c>
      <c r="D76">
        <v>79423530.273684219</v>
      </c>
      <c r="E76">
        <v>4777.07</v>
      </c>
    </row>
    <row r="77" spans="1:5" x14ac:dyDescent="0.2">
      <c r="A77" t="s">
        <v>113</v>
      </c>
      <c r="B77" t="s">
        <v>190</v>
      </c>
      <c r="C77">
        <v>43532</v>
      </c>
      <c r="D77">
        <v>422625882.78284168</v>
      </c>
      <c r="E77">
        <v>9708.4</v>
      </c>
    </row>
    <row r="78" spans="1:5" x14ac:dyDescent="0.2">
      <c r="B78" t="s">
        <v>9</v>
      </c>
      <c r="C78">
        <v>1059</v>
      </c>
      <c r="D78">
        <v>6185371.705897213</v>
      </c>
      <c r="E78">
        <v>5840.77</v>
      </c>
    </row>
    <row r="79" spans="1:5" x14ac:dyDescent="0.2">
      <c r="B79" t="s">
        <v>186</v>
      </c>
      <c r="C79">
        <v>99</v>
      </c>
      <c r="D79">
        <v>1730770</v>
      </c>
      <c r="E79">
        <v>17482.53</v>
      </c>
    </row>
    <row r="80" spans="1:5" x14ac:dyDescent="0.2">
      <c r="B80" t="s">
        <v>188</v>
      </c>
      <c r="C80">
        <v>1822</v>
      </c>
      <c r="D80">
        <v>6057731.3894736841</v>
      </c>
      <c r="E80">
        <v>3324.77</v>
      </c>
    </row>
    <row r="81" spans="2:5" x14ac:dyDescent="0.2">
      <c r="B81" t="s">
        <v>190</v>
      </c>
      <c r="C81">
        <v>2980</v>
      </c>
      <c r="D81">
        <v>13973873.0953709</v>
      </c>
      <c r="E81">
        <v>4689.22</v>
      </c>
    </row>
  </sheetData>
  <autoFilter ref="A1:E81" xr:uid="{00000000-0001-0000-0100-000000000000}"/>
  <phoneticPr fontId="20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DAB43-4E2E-4B7C-AE10-3753A873609A}">
  <sheetPr>
    <tabColor rgb="FFFF0000"/>
  </sheetPr>
  <dimension ref="B2:AH77"/>
  <sheetViews>
    <sheetView showGridLines="0" topLeftCell="A11" zoomScale="70" zoomScaleNormal="70" workbookViewId="0"/>
  </sheetViews>
  <sheetFormatPr defaultRowHeight="21" x14ac:dyDescent="0.7"/>
  <cols>
    <col min="1" max="1" width="3.33203125" customWidth="1"/>
    <col min="2" max="2" width="15.33203125" style="4" customWidth="1"/>
    <col min="3" max="3" width="12.6640625" style="4" bestFit="1" customWidth="1"/>
    <col min="4" max="7" width="10.6640625" style="4" customWidth="1"/>
    <col min="8" max="8" width="11.33203125" style="4" bestFit="1" customWidth="1"/>
    <col min="9" max="9" width="10.6640625" style="4" customWidth="1"/>
    <col min="10" max="10" width="15.33203125" style="4" customWidth="1"/>
    <col min="11" max="11" width="12.6640625" style="4" customWidth="1"/>
    <col min="12" max="17" width="10.6640625" style="4" customWidth="1"/>
    <col min="18" max="18" width="10.5546875" style="4" customWidth="1"/>
    <col min="19" max="19" width="12.6640625" style="4" bestFit="1" customWidth="1"/>
    <col min="20" max="24" width="10.6640625" style="4" customWidth="1"/>
    <col min="25" max="25" width="15" style="4" bestFit="1" customWidth="1"/>
    <col min="26" max="26" width="15.33203125" style="4" customWidth="1"/>
    <col min="27" max="27" width="12.6640625" style="4" bestFit="1" customWidth="1"/>
    <col min="28" max="28" width="9" style="4" bestFit="1" customWidth="1"/>
    <col min="29" max="29" width="8.6640625" style="4"/>
    <col min="30" max="30" width="15.33203125" style="4" customWidth="1"/>
    <col min="31" max="31" width="10.33203125" style="4" bestFit="1" customWidth="1"/>
    <col min="32" max="32" width="9" style="4" bestFit="1" customWidth="1"/>
    <col min="33" max="34" width="8.6640625" style="4"/>
  </cols>
  <sheetData>
    <row r="2" spans="2:9" x14ac:dyDescent="0.7">
      <c r="D2" s="18" t="s">
        <v>208</v>
      </c>
      <c r="E2" s="18"/>
      <c r="F2" s="18" t="s">
        <v>209</v>
      </c>
      <c r="G2" s="18"/>
      <c r="H2" s="18" t="s">
        <v>209</v>
      </c>
    </row>
    <row r="3" spans="2:9" x14ac:dyDescent="0.7">
      <c r="B3" s="139" t="s">
        <v>210</v>
      </c>
      <c r="C3" s="140"/>
      <c r="D3" s="17" t="s">
        <v>211</v>
      </c>
      <c r="E3" s="12" t="s">
        <v>212</v>
      </c>
      <c r="F3" s="12" t="s">
        <v>6</v>
      </c>
      <c r="G3" s="12" t="s">
        <v>212</v>
      </c>
      <c r="H3" s="12" t="s">
        <v>7</v>
      </c>
      <c r="I3" s="12" t="s">
        <v>212</v>
      </c>
    </row>
    <row r="4" spans="2:9" ht="21.6" thickBot="1" x14ac:dyDescent="0.75">
      <c r="B4" s="141" t="s">
        <v>213</v>
      </c>
      <c r="C4" s="142"/>
      <c r="D4" s="5">
        <f>D35+L35</f>
        <v>1271</v>
      </c>
      <c r="E4" s="13"/>
      <c r="F4" s="20">
        <f t="shared" ref="F4:F31" si="0">F35+N35</f>
        <v>32103694</v>
      </c>
      <c r="G4" s="13"/>
      <c r="H4" s="21">
        <f>F4/D4/7</f>
        <v>3608.372934697089</v>
      </c>
      <c r="I4" s="13"/>
    </row>
    <row r="5" spans="2:9" ht="21.6" thickTop="1" x14ac:dyDescent="0.7">
      <c r="B5" s="6" t="s">
        <v>214</v>
      </c>
      <c r="C5" s="11" t="s">
        <v>21</v>
      </c>
      <c r="D5" s="7">
        <v>895.42857142857144</v>
      </c>
      <c r="E5" s="8">
        <f t="shared" ref="E5:E22" si="1">D5/$D$4</f>
        <v>0.70450713723727099</v>
      </c>
      <c r="F5" s="19">
        <f t="shared" si="0"/>
        <v>25895119</v>
      </c>
      <c r="G5" s="8">
        <f>F5/$F$4</f>
        <v>0.80660870365883752</v>
      </c>
      <c r="H5" s="22">
        <f>F5/7/D5</f>
        <v>4131.3208359923419</v>
      </c>
      <c r="I5" s="8">
        <f>H5/$H$4</f>
        <v>1.1449262342777085</v>
      </c>
    </row>
    <row r="6" spans="2:9" x14ac:dyDescent="0.7">
      <c r="B6" s="3" t="s">
        <v>215</v>
      </c>
      <c r="C6" s="12" t="s">
        <v>30</v>
      </c>
      <c r="D6" s="9">
        <v>839.85714285714289</v>
      </c>
      <c r="E6" s="10">
        <f t="shared" si="1"/>
        <v>0.66078453411262228</v>
      </c>
      <c r="F6" s="19">
        <f t="shared" si="0"/>
        <v>22264590</v>
      </c>
      <c r="G6" s="8">
        <f t="shared" ref="G6:G30" si="2">F6/$F$4</f>
        <v>0.69352112563744217</v>
      </c>
      <c r="H6" s="22">
        <f t="shared" ref="H6:H17" si="3">F6/7/D6</f>
        <v>3787.1389692124508</v>
      </c>
      <c r="I6" s="8">
        <f t="shared" ref="I6:I30" si="4">H6/$H$4</f>
        <v>1.0495420062589425</v>
      </c>
    </row>
    <row r="7" spans="2:9" x14ac:dyDescent="0.7">
      <c r="B7" s="3" t="s">
        <v>216</v>
      </c>
      <c r="C7" s="12" t="s">
        <v>39</v>
      </c>
      <c r="D7" s="9">
        <v>926.28571428571433</v>
      </c>
      <c r="E7" s="10">
        <f t="shared" si="1"/>
        <v>0.72878498370237166</v>
      </c>
      <c r="F7" s="19">
        <f t="shared" si="0"/>
        <v>22598976</v>
      </c>
      <c r="G7" s="8">
        <f t="shared" si="2"/>
        <v>0.70393693635380405</v>
      </c>
      <c r="H7" s="22">
        <f t="shared" si="3"/>
        <v>3485.3448488587287</v>
      </c>
      <c r="I7" s="8">
        <f t="shared" si="4"/>
        <v>0.96590483077418154</v>
      </c>
    </row>
    <row r="8" spans="2:9" x14ac:dyDescent="0.7">
      <c r="B8" s="3" t="s">
        <v>217</v>
      </c>
      <c r="C8" s="12" t="s">
        <v>48</v>
      </c>
      <c r="D8" s="9">
        <v>1024.7142857142858</v>
      </c>
      <c r="E8" s="10">
        <f t="shared" si="1"/>
        <v>0.80622681802854901</v>
      </c>
      <c r="F8" s="19">
        <f t="shared" si="0"/>
        <v>27271439</v>
      </c>
      <c r="G8" s="8">
        <f t="shared" si="2"/>
        <v>0.84947978260694856</v>
      </c>
      <c r="H8" s="22">
        <f t="shared" si="3"/>
        <v>3801.9572006134113</v>
      </c>
      <c r="I8" s="8">
        <f t="shared" si="4"/>
        <v>1.053648630399278</v>
      </c>
    </row>
    <row r="9" spans="2:9" x14ac:dyDescent="0.7">
      <c r="B9" s="3" t="s">
        <v>218</v>
      </c>
      <c r="C9" s="12" t="s">
        <v>57</v>
      </c>
      <c r="D9" s="9">
        <v>1175</v>
      </c>
      <c r="E9" s="10">
        <f t="shared" si="1"/>
        <v>0.9244689221085759</v>
      </c>
      <c r="F9" s="19">
        <f t="shared" si="0"/>
        <v>30506198</v>
      </c>
      <c r="G9" s="8">
        <f t="shared" si="2"/>
        <v>0.95023949580381617</v>
      </c>
      <c r="H9" s="22">
        <f t="shared" si="3"/>
        <v>3708.9602431610938</v>
      </c>
      <c r="I9" s="8">
        <f t="shared" si="4"/>
        <v>1.0278760843971491</v>
      </c>
    </row>
    <row r="10" spans="2:9" x14ac:dyDescent="0.7">
      <c r="B10" s="3" t="s">
        <v>219</v>
      </c>
      <c r="C10" s="12" t="s">
        <v>66</v>
      </c>
      <c r="D10" s="9">
        <v>1038.5714285714287</v>
      </c>
      <c r="E10" s="10">
        <f t="shared" si="1"/>
        <v>0.81712936945037662</v>
      </c>
      <c r="F10" s="19">
        <f t="shared" si="0"/>
        <v>23933110</v>
      </c>
      <c r="G10" s="8">
        <f t="shared" si="2"/>
        <v>0.74549396091303388</v>
      </c>
      <c r="H10" s="22">
        <f t="shared" si="3"/>
        <v>3292.0371389270972</v>
      </c>
      <c r="I10" s="8">
        <f t="shared" si="4"/>
        <v>0.91233284322465769</v>
      </c>
    </row>
    <row r="11" spans="2:9" x14ac:dyDescent="0.7">
      <c r="B11" s="3" t="s">
        <v>220</v>
      </c>
      <c r="C11" s="12" t="s">
        <v>75</v>
      </c>
      <c r="D11" s="9">
        <v>1031.1428571428571</v>
      </c>
      <c r="E11" s="10">
        <f t="shared" si="1"/>
        <v>0.81128470270877817</v>
      </c>
      <c r="F11" s="19">
        <f t="shared" si="0"/>
        <v>26157223</v>
      </c>
      <c r="G11" s="8">
        <f t="shared" si="2"/>
        <v>0.81477299777402568</v>
      </c>
      <c r="H11" s="22">
        <f t="shared" si="3"/>
        <v>3623.8879190911612</v>
      </c>
      <c r="I11" s="8">
        <f t="shared" si="4"/>
        <v>1.0042997175388619</v>
      </c>
    </row>
    <row r="12" spans="2:9" x14ac:dyDescent="0.7">
      <c r="B12" s="3" t="s">
        <v>221</v>
      </c>
      <c r="C12" s="12" t="s">
        <v>84</v>
      </c>
      <c r="D12" s="9">
        <v>973.28571428571433</v>
      </c>
      <c r="E12" s="10">
        <f t="shared" si="1"/>
        <v>0.7657637405867147</v>
      </c>
      <c r="F12" s="19">
        <f t="shared" si="0"/>
        <v>28576425</v>
      </c>
      <c r="G12" s="8">
        <f t="shared" si="2"/>
        <v>0.89012887426599563</v>
      </c>
      <c r="H12" s="22">
        <f t="shared" si="3"/>
        <v>4194.3967415235575</v>
      </c>
      <c r="I12" s="8">
        <f t="shared" si="4"/>
        <v>1.1624066629010072</v>
      </c>
    </row>
    <row r="13" spans="2:9" x14ac:dyDescent="0.7">
      <c r="B13" s="3" t="s">
        <v>222</v>
      </c>
      <c r="C13" s="12" t="s">
        <v>93</v>
      </c>
      <c r="D13" s="9">
        <v>990.85714285714289</v>
      </c>
      <c r="E13" s="10">
        <f t="shared" si="1"/>
        <v>0.77958862537934137</v>
      </c>
      <c r="F13" s="19">
        <f t="shared" si="0"/>
        <v>26279513</v>
      </c>
      <c r="G13" s="8">
        <f t="shared" si="2"/>
        <v>0.81858221673804887</v>
      </c>
      <c r="H13" s="22">
        <f t="shared" si="3"/>
        <v>3788.8571222606688</v>
      </c>
      <c r="I13" s="8">
        <f t="shared" si="4"/>
        <v>1.050018163540718</v>
      </c>
    </row>
    <row r="14" spans="2:9" x14ac:dyDescent="0.7">
      <c r="B14" s="3" t="s">
        <v>223</v>
      </c>
      <c r="C14" s="12" t="s">
        <v>102</v>
      </c>
      <c r="D14" s="9">
        <v>1036.8571428571429</v>
      </c>
      <c r="E14" s="10">
        <f t="shared" si="1"/>
        <v>0.81578060020231546</v>
      </c>
      <c r="F14" s="19">
        <f t="shared" si="0"/>
        <v>30601178</v>
      </c>
      <c r="G14" s="8">
        <f t="shared" si="2"/>
        <v>0.9531980338461985</v>
      </c>
      <c r="H14" s="22">
        <f t="shared" si="3"/>
        <v>4216.1997795535963</v>
      </c>
      <c r="I14" s="8">
        <f t="shared" si="4"/>
        <v>1.1684490089734951</v>
      </c>
    </row>
    <row r="15" spans="2:9" x14ac:dyDescent="0.7">
      <c r="B15" s="3" t="s">
        <v>224</v>
      </c>
      <c r="C15" s="12" t="s">
        <v>127</v>
      </c>
      <c r="D15" s="9">
        <v>1017.1428571428571</v>
      </c>
      <c r="E15" s="10">
        <f t="shared" si="1"/>
        <v>0.80026975384961219</v>
      </c>
      <c r="F15" s="19">
        <f t="shared" si="0"/>
        <v>27128818</v>
      </c>
      <c r="G15" s="8">
        <f t="shared" si="2"/>
        <v>0.84503727203480072</v>
      </c>
      <c r="H15" s="22">
        <f t="shared" si="3"/>
        <v>3810.2272471910114</v>
      </c>
      <c r="I15" s="8">
        <f t="shared" si="4"/>
        <v>1.0559405350131492</v>
      </c>
    </row>
    <row r="16" spans="2:9" x14ac:dyDescent="0.7">
      <c r="B16" s="3" t="s">
        <v>225</v>
      </c>
      <c r="C16" s="12" t="s">
        <v>136</v>
      </c>
      <c r="D16" s="9">
        <v>982.57142857142856</v>
      </c>
      <c r="E16" s="10">
        <f t="shared" si="1"/>
        <v>0.77306957401371246</v>
      </c>
      <c r="F16" s="19">
        <f t="shared" si="0"/>
        <v>22457842</v>
      </c>
      <c r="G16" s="8">
        <f t="shared" si="2"/>
        <v>0.6995407444389421</v>
      </c>
      <c r="H16" s="22">
        <f t="shared" si="3"/>
        <v>3265.1703983716197</v>
      </c>
      <c r="I16" s="8">
        <f t="shared" si="4"/>
        <v>0.90488717698070198</v>
      </c>
    </row>
    <row r="17" spans="2:9" x14ac:dyDescent="0.7">
      <c r="B17" s="3" t="s">
        <v>226</v>
      </c>
      <c r="C17" s="12" t="s">
        <v>145</v>
      </c>
      <c r="D17" s="9">
        <v>1027.5714285714287</v>
      </c>
      <c r="E17" s="10">
        <f t="shared" si="1"/>
        <v>0.8084747667753176</v>
      </c>
      <c r="F17" s="19">
        <f t="shared" si="0"/>
        <v>24434675</v>
      </c>
      <c r="G17" s="8">
        <f t="shared" si="2"/>
        <v>0.76111724090068889</v>
      </c>
      <c r="H17" s="22">
        <f t="shared" si="3"/>
        <v>3397.0075072987624</v>
      </c>
      <c r="I17" s="8">
        <f t="shared" si="4"/>
        <v>0.94142361911489336</v>
      </c>
    </row>
    <row r="18" spans="2:9" x14ac:dyDescent="0.7">
      <c r="B18" s="3" t="s">
        <v>227</v>
      </c>
      <c r="C18" s="12" t="s">
        <v>154</v>
      </c>
      <c r="D18" s="9">
        <v>1027.8571428571429</v>
      </c>
      <c r="E18" s="10">
        <f t="shared" si="1"/>
        <v>0.80869956164999446</v>
      </c>
      <c r="F18" s="19">
        <f t="shared" si="0"/>
        <v>24234791</v>
      </c>
      <c r="G18" s="8">
        <f t="shared" si="2"/>
        <v>0.75489104151067477</v>
      </c>
      <c r="H18" s="22">
        <f t="shared" ref="H18:H30" si="5">F18/7/D18</f>
        <v>3368.282279360667</v>
      </c>
      <c r="I18" s="8">
        <f t="shared" si="4"/>
        <v>0.93346290428359591</v>
      </c>
    </row>
    <row r="19" spans="2:9" x14ac:dyDescent="0.7">
      <c r="B19" s="3" t="s">
        <v>228</v>
      </c>
      <c r="C19" s="12" t="s">
        <v>163</v>
      </c>
      <c r="D19" s="9">
        <v>1142</v>
      </c>
      <c r="E19" s="10">
        <f t="shared" si="1"/>
        <v>0.89850511408339895</v>
      </c>
      <c r="F19" s="19">
        <f t="shared" si="0"/>
        <v>28705986</v>
      </c>
      <c r="G19" s="8">
        <f t="shared" si="2"/>
        <v>0.89416457807005012</v>
      </c>
      <c r="H19" s="22">
        <f t="shared" si="5"/>
        <v>3590.9414560920691</v>
      </c>
      <c r="I19" s="8">
        <f t="shared" si="4"/>
        <v>0.99516915825484564</v>
      </c>
    </row>
    <row r="20" spans="2:9" x14ac:dyDescent="0.7">
      <c r="B20" s="3" t="s">
        <v>229</v>
      </c>
      <c r="C20" s="12" t="s">
        <v>172</v>
      </c>
      <c r="D20" s="9">
        <v>1148.1428571428571</v>
      </c>
      <c r="E20" s="10">
        <f t="shared" si="1"/>
        <v>0.90333820388895125</v>
      </c>
      <c r="F20" s="19">
        <f t="shared" si="0"/>
        <v>29527765</v>
      </c>
      <c r="G20" s="8">
        <f t="shared" si="2"/>
        <v>0.91976222424746512</v>
      </c>
      <c r="H20" s="22">
        <f>F20/7/D20</f>
        <v>3673.9784745551824</v>
      </c>
      <c r="I20" s="8">
        <f t="shared" si="4"/>
        <v>1.0181814743224706</v>
      </c>
    </row>
    <row r="21" spans="2:9" x14ac:dyDescent="0.7">
      <c r="B21" s="3" t="s">
        <v>230</v>
      </c>
      <c r="C21" s="12" t="s">
        <v>181</v>
      </c>
      <c r="D21" s="9">
        <v>1218.8571428571429</v>
      </c>
      <c r="E21" s="10">
        <f t="shared" si="1"/>
        <v>0.9589749353714736</v>
      </c>
      <c r="F21" s="19">
        <f t="shared" si="0"/>
        <v>30453720</v>
      </c>
      <c r="G21" s="8">
        <f>F21/$F$4</f>
        <v>0.94860485525435168</v>
      </c>
      <c r="H21" s="22">
        <f>F21/7/D21</f>
        <v>3569.3530239099855</v>
      </c>
      <c r="I21" s="8">
        <f>H21/$H$4</f>
        <v>0.9891862865914165</v>
      </c>
    </row>
    <row r="22" spans="2:9" x14ac:dyDescent="0.7">
      <c r="B22" s="3" t="s">
        <v>231</v>
      </c>
      <c r="C22" s="12" t="s">
        <v>198</v>
      </c>
      <c r="D22" s="9">
        <f>D53+L53</f>
        <v>1205.8571428571429</v>
      </c>
      <c r="E22" s="10">
        <f t="shared" si="1"/>
        <v>0.94874676857367657</v>
      </c>
      <c r="F22" s="19">
        <f t="shared" si="0"/>
        <v>28120227</v>
      </c>
      <c r="G22" s="8">
        <f>F22/$F$4</f>
        <v>0.87591873383791907</v>
      </c>
      <c r="H22" s="22">
        <f>F22/7/D22</f>
        <v>3331.3857362871699</v>
      </c>
      <c r="I22" s="8">
        <f>H22/$H$4</f>
        <v>0.92323764660063579</v>
      </c>
    </row>
    <row r="23" spans="2:9" x14ac:dyDescent="0.7">
      <c r="B23" s="3" t="s">
        <v>232</v>
      </c>
      <c r="C23" s="12" t="s">
        <v>201</v>
      </c>
      <c r="D23" s="9">
        <f t="shared" ref="D23" si="6">D54+L54</f>
        <v>1229</v>
      </c>
      <c r="E23" s="10">
        <f t="shared" ref="E23" si="7">D23/$D$4</f>
        <v>0.96695515342250193</v>
      </c>
      <c r="F23" s="19">
        <f t="shared" si="0"/>
        <v>28726888</v>
      </c>
      <c r="G23" s="8">
        <f t="shared" ref="G23:G29" si="8">F23/$F$4</f>
        <v>0.89481565579338007</v>
      </c>
      <c r="H23" s="22">
        <f t="shared" ref="H23" si="9">F23/7/D23</f>
        <v>3339.1709868650469</v>
      </c>
      <c r="I23" s="8">
        <f t="shared" ref="I23:I29" si="10">H23/$H$4</f>
        <v>0.92539519813945148</v>
      </c>
    </row>
    <row r="24" spans="2:9" x14ac:dyDescent="0.7">
      <c r="B24" s="3" t="s">
        <v>233</v>
      </c>
      <c r="C24" s="12" t="s">
        <v>203</v>
      </c>
      <c r="D24" s="9">
        <f>D55+L55</f>
        <v>1299</v>
      </c>
      <c r="E24" s="10">
        <f t="shared" ref="E24:E25" si="11">D24/$D$4</f>
        <v>1.022029897718332</v>
      </c>
      <c r="F24" s="19">
        <f t="shared" si="0"/>
        <v>30899869</v>
      </c>
      <c r="G24" s="8">
        <f t="shared" ref="G24:G25" si="12">F24/$F$4</f>
        <v>0.96250197874425292</v>
      </c>
      <c r="H24" s="22">
        <f t="shared" ref="H24:H25" si="13">F24/7/D24</f>
        <v>3398.2040030792919</v>
      </c>
      <c r="I24" s="8">
        <f t="shared" ref="I24:I25" si="14">H24/$H$4</f>
        <v>0.9417552078398348</v>
      </c>
    </row>
    <row r="25" spans="2:9" x14ac:dyDescent="0.7">
      <c r="B25" s="3" t="s">
        <v>234</v>
      </c>
      <c r="C25" s="12" t="s">
        <v>205</v>
      </c>
      <c r="D25" s="9">
        <f>D56+L56</f>
        <v>1337</v>
      </c>
      <c r="E25" s="10">
        <f t="shared" si="11"/>
        <v>1.0519276160503541</v>
      </c>
      <c r="F25" s="19">
        <f t="shared" si="0"/>
        <v>30123969</v>
      </c>
      <c r="G25" s="8">
        <f t="shared" si="12"/>
        <v>0.93833342044688062</v>
      </c>
      <c r="H25" s="22">
        <f t="shared" si="13"/>
        <v>3218.7166363927768</v>
      </c>
      <c r="I25" s="8">
        <f t="shared" si="14"/>
        <v>0.89201329647568073</v>
      </c>
    </row>
    <row r="26" spans="2:9" x14ac:dyDescent="0.7">
      <c r="B26" s="3" t="s">
        <v>235</v>
      </c>
      <c r="C26" s="12" t="s">
        <v>236</v>
      </c>
      <c r="D26" s="9">
        <f>D57+L57</f>
        <v>1376.2857142857144</v>
      </c>
      <c r="E26" s="10">
        <f t="shared" ref="E26:E28" si="15">D26/$D$4</f>
        <v>1.082836911318422</v>
      </c>
      <c r="F26" s="19">
        <f t="shared" si="0"/>
        <v>34366908.167686418</v>
      </c>
      <c r="G26" s="8">
        <f t="shared" si="8"/>
        <v>1.0704970016125377</v>
      </c>
      <c r="H26" s="22">
        <f t="shared" ref="H26:H29" si="16">F26/7/D26</f>
        <v>3567.2522490851579</v>
      </c>
      <c r="I26" s="8">
        <f t="shared" si="10"/>
        <v>0.98860409210574485</v>
      </c>
    </row>
    <row r="27" spans="2:9" x14ac:dyDescent="0.7">
      <c r="B27" s="3" t="s">
        <v>237</v>
      </c>
      <c r="C27" s="12" t="s">
        <v>238</v>
      </c>
      <c r="D27" s="9">
        <f>D58+L58</f>
        <v>1225.8571428571429</v>
      </c>
      <c r="E27" s="10">
        <f t="shared" si="15"/>
        <v>0.96448240980105659</v>
      </c>
      <c r="F27" s="19">
        <f t="shared" si="0"/>
        <v>27815378.530796163</v>
      </c>
      <c r="G27" s="8">
        <f t="shared" si="8"/>
        <v>0.86642298954120867</v>
      </c>
      <c r="H27" s="22">
        <f t="shared" si="16"/>
        <v>3241.5078115366696</v>
      </c>
      <c r="I27" s="8">
        <f t="shared" si="10"/>
        <v>0.8983294881654974</v>
      </c>
    </row>
    <row r="28" spans="2:9" x14ac:dyDescent="0.7">
      <c r="B28" s="3" t="s">
        <v>239</v>
      </c>
      <c r="C28" s="12" t="s">
        <v>240</v>
      </c>
      <c r="D28" s="9">
        <f>D59+L59</f>
        <v>1179.4285714285716</v>
      </c>
      <c r="E28" s="10">
        <f t="shared" si="15"/>
        <v>0.92795324266606727</v>
      </c>
      <c r="F28" s="19">
        <f t="shared" si="0"/>
        <v>26955878.435355492</v>
      </c>
      <c r="G28" s="8">
        <f t="shared" si="8"/>
        <v>0.83965036657013647</v>
      </c>
      <c r="H28" s="22">
        <f t="shared" si="16"/>
        <v>3265.0046554451901</v>
      </c>
      <c r="I28" s="8">
        <f t="shared" si="10"/>
        <v>0.90484124411028388</v>
      </c>
    </row>
    <row r="29" spans="2:9" x14ac:dyDescent="0.7">
      <c r="B29" s="3" t="s">
        <v>241</v>
      </c>
      <c r="C29" s="12" t="s">
        <v>242</v>
      </c>
      <c r="D29" s="9">
        <f t="shared" ref="D29:D30" si="17">D60+L60</f>
        <v>1105.8571428428572</v>
      </c>
      <c r="E29" s="10">
        <f>D29/$D$4</f>
        <v>0.87006856242553676</v>
      </c>
      <c r="F29" s="19">
        <f t="shared" si="0"/>
        <v>25684582.799669549</v>
      </c>
      <c r="G29" s="8">
        <f t="shared" si="8"/>
        <v>0.80005069820530772</v>
      </c>
      <c r="H29" s="22">
        <f t="shared" si="16"/>
        <v>3317.992869138528</v>
      </c>
      <c r="I29" s="8">
        <f t="shared" si="10"/>
        <v>0.91952603824112833</v>
      </c>
    </row>
    <row r="30" spans="2:9" x14ac:dyDescent="0.7">
      <c r="B30" s="3" t="s">
        <v>243</v>
      </c>
      <c r="C30" s="12" t="s">
        <v>244</v>
      </c>
      <c r="D30" s="9">
        <f t="shared" si="17"/>
        <v>1094.7142857142858</v>
      </c>
      <c r="E30" s="10">
        <f>D30/$D$4</f>
        <v>0.86130156232437904</v>
      </c>
      <c r="F30" s="19">
        <f t="shared" si="0"/>
        <v>24210615.389606319</v>
      </c>
      <c r="G30" s="8">
        <f t="shared" si="2"/>
        <v>0.75413799388962277</v>
      </c>
      <c r="H30" s="22">
        <f t="shared" si="5"/>
        <v>3159.4173808699356</v>
      </c>
      <c r="I30" s="8">
        <f t="shared" si="4"/>
        <v>0.87557950301917953</v>
      </c>
    </row>
    <row r="31" spans="2:9" x14ac:dyDescent="0.7">
      <c r="B31" s="3" t="s">
        <v>245</v>
      </c>
      <c r="C31" s="12" t="s">
        <v>246</v>
      </c>
      <c r="D31" s="9">
        <f>D62+L62</f>
        <v>1165.71</v>
      </c>
      <c r="E31" s="10">
        <f>D31/$D$4</f>
        <v>0.91715971675845798</v>
      </c>
      <c r="F31" s="19">
        <f t="shared" si="0"/>
        <v>27450656.220299952</v>
      </c>
      <c r="G31" s="8">
        <f t="shared" ref="G31" si="18">F31/$F$4</f>
        <v>0.85506223116567059</v>
      </c>
      <c r="H31" s="22">
        <f t="shared" ref="H31" si="19">F31/7/D31</f>
        <v>3364.0633752697559</v>
      </c>
      <c r="I31" s="8">
        <f t="shared" ref="I31" si="20">H31/$H$4</f>
        <v>0.93229370582011584</v>
      </c>
    </row>
    <row r="32" spans="2:9" x14ac:dyDescent="0.7">
      <c r="B32" s="3" t="s">
        <v>512</v>
      </c>
      <c r="C32" s="12" t="s">
        <v>514</v>
      </c>
      <c r="D32" s="9">
        <f>D63+L63</f>
        <v>1163.1428571428571</v>
      </c>
      <c r="E32" s="10">
        <f>D32/$D$4</f>
        <v>0.9151399348094863</v>
      </c>
      <c r="F32" s="19">
        <f t="shared" ref="F32" si="21">F63+N63</f>
        <v>27688648.445264429</v>
      </c>
      <c r="G32" s="8">
        <f t="shared" ref="G32" si="22">F32/$F$4</f>
        <v>0.86247546607142556</v>
      </c>
      <c r="H32" s="22">
        <f t="shared" ref="H32" si="23">F32/7/D32</f>
        <v>3400.7183057313227</v>
      </c>
      <c r="I32" s="8">
        <f t="shared" ref="I32" si="24">H32/$H$4</f>
        <v>0.94245200462263246</v>
      </c>
    </row>
    <row r="33" spans="2:17" x14ac:dyDescent="0.7">
      <c r="K33"/>
    </row>
    <row r="34" spans="2:17" x14ac:dyDescent="0.7">
      <c r="B34" s="139" t="s">
        <v>247</v>
      </c>
      <c r="C34" s="140"/>
      <c r="D34" s="12" t="s">
        <v>248</v>
      </c>
      <c r="E34" s="12" t="s">
        <v>212</v>
      </c>
      <c r="F34" s="12" t="s">
        <v>6</v>
      </c>
      <c r="G34" s="12" t="s">
        <v>212</v>
      </c>
      <c r="H34" s="12" t="s">
        <v>7</v>
      </c>
      <c r="I34" s="12" t="s">
        <v>212</v>
      </c>
      <c r="J34" s="139" t="s">
        <v>249</v>
      </c>
      <c r="K34" s="140"/>
      <c r="L34" s="12" t="s">
        <v>248</v>
      </c>
      <c r="M34" s="12" t="s">
        <v>212</v>
      </c>
      <c r="N34" s="12" t="s">
        <v>6</v>
      </c>
      <c r="O34" s="12" t="s">
        <v>212</v>
      </c>
      <c r="P34" s="12" t="s">
        <v>7</v>
      </c>
      <c r="Q34" s="12" t="s">
        <v>212</v>
      </c>
    </row>
    <row r="35" spans="2:17" ht="21.6" thickBot="1" x14ac:dyDescent="0.75">
      <c r="B35" s="141" t="s">
        <v>213</v>
      </c>
      <c r="C35" s="142"/>
      <c r="D35" s="5">
        <v>457</v>
      </c>
      <c r="E35" s="13"/>
      <c r="F35" s="20">
        <f>D35*H35*7</f>
        <v>19852994</v>
      </c>
      <c r="G35" s="13"/>
      <c r="H35" s="21">
        <v>6206</v>
      </c>
      <c r="I35" s="13"/>
      <c r="J35" s="141" t="s">
        <v>213</v>
      </c>
      <c r="K35" s="142"/>
      <c r="L35" s="23">
        <v>814</v>
      </c>
      <c r="M35" s="13"/>
      <c r="N35" s="15">
        <f>L35*P35*7</f>
        <v>12250700</v>
      </c>
      <c r="O35" s="13"/>
      <c r="P35" s="21">
        <v>2150</v>
      </c>
      <c r="Q35" s="13"/>
    </row>
    <row r="36" spans="2:17" ht="21.6" thickTop="1" x14ac:dyDescent="0.7">
      <c r="B36" s="6" t="s">
        <v>214</v>
      </c>
      <c r="C36" s="11" t="s">
        <v>21</v>
      </c>
      <c r="D36" s="7">
        <v>355.57142857142856</v>
      </c>
      <c r="E36" s="8">
        <f t="shared" ref="E36:E61" si="25">D36/$D$35</f>
        <v>0.77805564238824632</v>
      </c>
      <c r="F36" s="19">
        <v>15533688</v>
      </c>
      <c r="G36" s="8">
        <f t="shared" ref="G36:G61" si="26">F36/$F$35</f>
        <v>0.7824355359196703</v>
      </c>
      <c r="H36" s="22">
        <f>F36/7/D36</f>
        <v>6240.9353153877064</v>
      </c>
      <c r="I36" s="8">
        <f t="shared" ref="I36:I61" si="27">H36/$H$35</f>
        <v>1.0056292805974389</v>
      </c>
      <c r="J36" s="6" t="s">
        <v>214</v>
      </c>
      <c r="K36" s="11" t="s">
        <v>21</v>
      </c>
      <c r="L36" s="24">
        <v>539.14285714285711</v>
      </c>
      <c r="M36" s="8">
        <f t="shared" ref="M36:M61" si="28">L36/$L$35</f>
        <v>0.66233766233766234</v>
      </c>
      <c r="N36" s="14">
        <v>10361431</v>
      </c>
      <c r="O36" s="8">
        <f t="shared" ref="O36:O61" si="29">N36/$N$35</f>
        <v>0.8457827715967251</v>
      </c>
      <c r="P36" s="22">
        <f>N36/7/L36</f>
        <v>2745.4772125066247</v>
      </c>
      <c r="Q36" s="8">
        <f t="shared" ref="Q36:Q61" si="30">P36/$P$35</f>
        <v>1.2769661453519185</v>
      </c>
    </row>
    <row r="37" spans="2:17" x14ac:dyDescent="0.7">
      <c r="B37" s="3" t="s">
        <v>215</v>
      </c>
      <c r="C37" s="12" t="s">
        <v>30</v>
      </c>
      <c r="D37" s="9">
        <v>318.42857142857144</v>
      </c>
      <c r="E37" s="8">
        <f t="shared" si="25"/>
        <v>0.69678024382619574</v>
      </c>
      <c r="F37" s="19">
        <v>14136034</v>
      </c>
      <c r="G37" s="8">
        <f t="shared" si="26"/>
        <v>0.71203537360662073</v>
      </c>
      <c r="H37" s="22">
        <f t="shared" ref="H37:H48" si="31">F37/7/D37</f>
        <v>6341.872588604755</v>
      </c>
      <c r="I37" s="8">
        <f t="shared" si="27"/>
        <v>1.0218937461496544</v>
      </c>
      <c r="J37" s="3" t="s">
        <v>215</v>
      </c>
      <c r="K37" s="12" t="s">
        <v>30</v>
      </c>
      <c r="L37" s="25">
        <v>520.71428571428567</v>
      </c>
      <c r="M37" s="8">
        <f t="shared" si="28"/>
        <v>0.6396981396981396</v>
      </c>
      <c r="N37" s="14">
        <v>8128556</v>
      </c>
      <c r="O37" s="8">
        <f t="shared" si="29"/>
        <v>0.6635176765409323</v>
      </c>
      <c r="P37" s="22">
        <f t="shared" ref="P37:P48" si="32">N37/7/L37</f>
        <v>2230.0565157750343</v>
      </c>
      <c r="Q37" s="8">
        <f t="shared" si="30"/>
        <v>1.0372355887325742</v>
      </c>
    </row>
    <row r="38" spans="2:17" x14ac:dyDescent="0.7">
      <c r="B38" s="3" t="s">
        <v>216</v>
      </c>
      <c r="C38" s="12" t="s">
        <v>39</v>
      </c>
      <c r="D38" s="9">
        <v>312.57142857142856</v>
      </c>
      <c r="E38" s="8">
        <f t="shared" si="25"/>
        <v>0.68396373866833382</v>
      </c>
      <c r="F38" s="19">
        <v>14105950</v>
      </c>
      <c r="G38" s="8">
        <f t="shared" si="26"/>
        <v>0.71052003541632058</v>
      </c>
      <c r="H38" s="22">
        <f t="shared" si="31"/>
        <v>6446.9606946983549</v>
      </c>
      <c r="I38" s="8">
        <f t="shared" si="27"/>
        <v>1.0388270536091451</v>
      </c>
      <c r="J38" s="3" t="s">
        <v>216</v>
      </c>
      <c r="K38" s="12" t="s">
        <v>39</v>
      </c>
      <c r="L38" s="25">
        <v>588.28571428571433</v>
      </c>
      <c r="M38" s="8">
        <f t="shared" si="28"/>
        <v>0.72270972270972278</v>
      </c>
      <c r="N38" s="14">
        <v>8493026</v>
      </c>
      <c r="O38" s="8">
        <f t="shared" si="29"/>
        <v>0.6932686295476993</v>
      </c>
      <c r="P38" s="22">
        <f t="shared" si="32"/>
        <v>2062.415250121418</v>
      </c>
      <c r="Q38" s="8">
        <f t="shared" si="30"/>
        <v>0.9592629070332177</v>
      </c>
    </row>
    <row r="39" spans="2:17" x14ac:dyDescent="0.7">
      <c r="B39" s="3" t="s">
        <v>217</v>
      </c>
      <c r="C39" s="12" t="s">
        <v>48</v>
      </c>
      <c r="D39" s="9">
        <v>342.28571428571428</v>
      </c>
      <c r="E39" s="8">
        <f t="shared" si="25"/>
        <v>0.74898405751797437</v>
      </c>
      <c r="F39" s="19">
        <v>15665940</v>
      </c>
      <c r="G39" s="8">
        <f t="shared" si="26"/>
        <v>0.7890971004171965</v>
      </c>
      <c r="H39" s="22">
        <f t="shared" si="31"/>
        <v>6538.3722871452428</v>
      </c>
      <c r="I39" s="8">
        <f t="shared" si="27"/>
        <v>1.0535566044384859</v>
      </c>
      <c r="J39" s="3" t="s">
        <v>217</v>
      </c>
      <c r="K39" s="12" t="s">
        <v>48</v>
      </c>
      <c r="L39" s="25">
        <v>675.14285714285711</v>
      </c>
      <c r="M39" s="8">
        <f t="shared" si="28"/>
        <v>0.82941382941382935</v>
      </c>
      <c r="N39" s="14">
        <v>11605499</v>
      </c>
      <c r="O39" s="8">
        <f t="shared" si="29"/>
        <v>0.94733354012423776</v>
      </c>
      <c r="P39" s="22">
        <f t="shared" si="32"/>
        <v>2455.6705459162085</v>
      </c>
      <c r="Q39" s="8">
        <f t="shared" si="30"/>
        <v>1.1421723469377714</v>
      </c>
    </row>
    <row r="40" spans="2:17" x14ac:dyDescent="0.7">
      <c r="B40" s="3" t="s">
        <v>218</v>
      </c>
      <c r="C40" s="12" t="s">
        <v>57</v>
      </c>
      <c r="D40" s="9">
        <v>457.28571428571428</v>
      </c>
      <c r="E40" s="8">
        <f t="shared" si="25"/>
        <v>1.0006251953735543</v>
      </c>
      <c r="F40" s="19">
        <v>20335718</v>
      </c>
      <c r="G40" s="8">
        <f t="shared" si="26"/>
        <v>1.0243149219709631</v>
      </c>
      <c r="H40" s="22">
        <f t="shared" si="31"/>
        <v>6352.9265854420491</v>
      </c>
      <c r="I40" s="8">
        <f t="shared" si="27"/>
        <v>1.0236749251437398</v>
      </c>
      <c r="J40" s="3" t="s">
        <v>218</v>
      </c>
      <c r="K40" s="12" t="s">
        <v>57</v>
      </c>
      <c r="L40" s="25">
        <v>715.85714285714289</v>
      </c>
      <c r="M40" s="8">
        <f t="shared" si="28"/>
        <v>0.8794313794313795</v>
      </c>
      <c r="N40" s="14">
        <v>10170480</v>
      </c>
      <c r="O40" s="8">
        <f t="shared" si="29"/>
        <v>0.83019582554466276</v>
      </c>
      <c r="P40" s="22">
        <f t="shared" si="32"/>
        <v>2029.6308122131311</v>
      </c>
      <c r="Q40" s="8">
        <f t="shared" si="30"/>
        <v>0.94401433126192147</v>
      </c>
    </row>
    <row r="41" spans="2:17" x14ac:dyDescent="0.7">
      <c r="B41" s="3" t="s">
        <v>219</v>
      </c>
      <c r="C41" s="12" t="s">
        <v>66</v>
      </c>
      <c r="D41" s="9">
        <v>317.57142857142856</v>
      </c>
      <c r="E41" s="8">
        <f t="shared" si="25"/>
        <v>0.69490465770553289</v>
      </c>
      <c r="F41" s="19">
        <v>13739965</v>
      </c>
      <c r="G41" s="8">
        <f t="shared" si="26"/>
        <v>0.69208528446641349</v>
      </c>
      <c r="H41" s="22">
        <f t="shared" si="31"/>
        <v>6180.8209626630687</v>
      </c>
      <c r="I41" s="8">
        <f t="shared" si="27"/>
        <v>0.99594279127667884</v>
      </c>
      <c r="J41" s="3" t="s">
        <v>219</v>
      </c>
      <c r="K41" s="12" t="s">
        <v>66</v>
      </c>
      <c r="L41" s="25">
        <v>713.71428571428567</v>
      </c>
      <c r="M41" s="8">
        <f t="shared" si="28"/>
        <v>0.87679887679887669</v>
      </c>
      <c r="N41" s="14">
        <v>10193145</v>
      </c>
      <c r="O41" s="8">
        <f t="shared" si="29"/>
        <v>0.83204592390638898</v>
      </c>
      <c r="P41" s="22">
        <f t="shared" si="32"/>
        <v>2040.2612089671738</v>
      </c>
      <c r="Q41" s="8">
        <f t="shared" si="30"/>
        <v>0.94895870184519715</v>
      </c>
    </row>
    <row r="42" spans="2:17" x14ac:dyDescent="0.7">
      <c r="B42" s="3" t="s">
        <v>220</v>
      </c>
      <c r="C42" s="12" t="s">
        <v>75</v>
      </c>
      <c r="D42" s="9">
        <v>343.42857142857144</v>
      </c>
      <c r="E42" s="8">
        <f t="shared" si="25"/>
        <v>0.75148483901219132</v>
      </c>
      <c r="F42" s="19">
        <v>14076282</v>
      </c>
      <c r="G42" s="8">
        <f t="shared" si="26"/>
        <v>0.70902565124434125</v>
      </c>
      <c r="H42" s="22">
        <f t="shared" si="31"/>
        <v>5855.3585690515802</v>
      </c>
      <c r="I42" s="8">
        <f t="shared" si="27"/>
        <v>0.94349960829061874</v>
      </c>
      <c r="J42" s="3" t="s">
        <v>220</v>
      </c>
      <c r="K42" s="12" t="s">
        <v>75</v>
      </c>
      <c r="L42" s="25">
        <v>683.71428571428567</v>
      </c>
      <c r="M42" s="8">
        <f t="shared" si="28"/>
        <v>0.83994383994383992</v>
      </c>
      <c r="N42" s="14">
        <v>12080941</v>
      </c>
      <c r="O42" s="8">
        <f t="shared" si="29"/>
        <v>0.98614291428244916</v>
      </c>
      <c r="P42" s="22">
        <f t="shared" si="32"/>
        <v>2524.2250313414129</v>
      </c>
      <c r="Q42" s="8">
        <f t="shared" si="30"/>
        <v>1.174058154112285</v>
      </c>
    </row>
    <row r="43" spans="2:17" x14ac:dyDescent="0.7">
      <c r="B43" s="3" t="s">
        <v>221</v>
      </c>
      <c r="C43" s="12" t="s">
        <v>84</v>
      </c>
      <c r="D43" s="9">
        <v>362.71428571428572</v>
      </c>
      <c r="E43" s="8">
        <f t="shared" si="25"/>
        <v>0.79368552672710224</v>
      </c>
      <c r="F43" s="19">
        <v>16139350</v>
      </c>
      <c r="G43" s="8">
        <f t="shared" si="26"/>
        <v>0.81294287400681231</v>
      </c>
      <c r="H43" s="22">
        <f t="shared" si="31"/>
        <v>6356.5773926742813</v>
      </c>
      <c r="I43" s="8">
        <f t="shared" si="27"/>
        <v>1.0242631957257946</v>
      </c>
      <c r="J43" s="3" t="s">
        <v>221</v>
      </c>
      <c r="K43" s="12" t="s">
        <v>84</v>
      </c>
      <c r="L43" s="25">
        <v>606.42857142857144</v>
      </c>
      <c r="M43" s="8">
        <f t="shared" si="28"/>
        <v>0.74499824499824496</v>
      </c>
      <c r="N43" s="14">
        <v>12437075</v>
      </c>
      <c r="O43" s="8">
        <f t="shared" si="29"/>
        <v>1.015213416376207</v>
      </c>
      <c r="P43" s="22">
        <f t="shared" si="32"/>
        <v>2929.8174322732625</v>
      </c>
      <c r="Q43" s="8">
        <f t="shared" si="30"/>
        <v>1.3627057824526803</v>
      </c>
    </row>
    <row r="44" spans="2:17" x14ac:dyDescent="0.7">
      <c r="B44" s="3" t="s">
        <v>222</v>
      </c>
      <c r="C44" s="12" t="s">
        <v>93</v>
      </c>
      <c r="D44" s="9">
        <v>351.57142857142856</v>
      </c>
      <c r="E44" s="8">
        <f t="shared" si="25"/>
        <v>0.76930290715848704</v>
      </c>
      <c r="F44" s="19">
        <v>16243869</v>
      </c>
      <c r="G44" s="8">
        <f t="shared" si="26"/>
        <v>0.81820752073969294</v>
      </c>
      <c r="H44" s="22">
        <f t="shared" si="31"/>
        <v>6600.5156440471346</v>
      </c>
      <c r="I44" s="8">
        <f t="shared" si="27"/>
        <v>1.0635700361016975</v>
      </c>
      <c r="J44" s="3" t="s">
        <v>222</v>
      </c>
      <c r="K44" s="12" t="s">
        <v>93</v>
      </c>
      <c r="L44" s="25">
        <v>612.28571428571433</v>
      </c>
      <c r="M44" s="8">
        <f t="shared" si="28"/>
        <v>0.75219375219375229</v>
      </c>
      <c r="N44" s="14">
        <v>10035644</v>
      </c>
      <c r="O44" s="8">
        <f t="shared" si="29"/>
        <v>0.81918943407315503</v>
      </c>
      <c r="P44" s="22">
        <f t="shared" si="32"/>
        <v>2341.4941670555295</v>
      </c>
      <c r="Q44" s="8">
        <f t="shared" si="30"/>
        <v>1.0890670544444323</v>
      </c>
    </row>
    <row r="45" spans="2:17" x14ac:dyDescent="0.7">
      <c r="B45" s="3" t="s">
        <v>223</v>
      </c>
      <c r="C45" s="12" t="s">
        <v>102</v>
      </c>
      <c r="D45" s="9">
        <v>366.28571428571428</v>
      </c>
      <c r="E45" s="8">
        <f t="shared" si="25"/>
        <v>0.80150046889653015</v>
      </c>
      <c r="F45" s="19">
        <v>15840462</v>
      </c>
      <c r="G45" s="8">
        <f t="shared" si="26"/>
        <v>0.79788781480516235</v>
      </c>
      <c r="H45" s="22">
        <f t="shared" si="31"/>
        <v>6178.0273010920437</v>
      </c>
      <c r="I45" s="8">
        <f t="shared" si="27"/>
        <v>0.99549263633452201</v>
      </c>
      <c r="J45" s="3" t="s">
        <v>223</v>
      </c>
      <c r="K45" s="12" t="s">
        <v>102</v>
      </c>
      <c r="L45" s="25">
        <v>648</v>
      </c>
      <c r="M45" s="8">
        <f t="shared" si="28"/>
        <v>0.7960687960687961</v>
      </c>
      <c r="N45" s="14">
        <v>14760716</v>
      </c>
      <c r="O45" s="8">
        <f t="shared" si="29"/>
        <v>1.204887557445697</v>
      </c>
      <c r="P45" s="22">
        <f t="shared" si="32"/>
        <v>3254.1261022927688</v>
      </c>
      <c r="Q45" s="8">
        <f t="shared" si="30"/>
        <v>1.513547024322218</v>
      </c>
    </row>
    <row r="46" spans="2:17" x14ac:dyDescent="0.7">
      <c r="B46" s="3" t="s">
        <v>224</v>
      </c>
      <c r="C46" s="12" t="s">
        <v>127</v>
      </c>
      <c r="D46" s="9">
        <v>351.57142857142856</v>
      </c>
      <c r="E46" s="8">
        <f t="shared" si="25"/>
        <v>0.76930290715848704</v>
      </c>
      <c r="F46" s="19">
        <v>14713096</v>
      </c>
      <c r="G46" s="8">
        <f t="shared" si="26"/>
        <v>0.7411021229342033</v>
      </c>
      <c r="H46" s="22">
        <f t="shared" si="31"/>
        <v>5978.5030475416506</v>
      </c>
      <c r="I46" s="8">
        <f t="shared" si="27"/>
        <v>0.96334241823101041</v>
      </c>
      <c r="J46" s="3" t="s">
        <v>224</v>
      </c>
      <c r="K46" s="12" t="s">
        <v>127</v>
      </c>
      <c r="L46" s="25">
        <v>664.85714285714289</v>
      </c>
      <c r="M46" s="8">
        <f t="shared" si="28"/>
        <v>0.8167778167778168</v>
      </c>
      <c r="N46" s="14">
        <v>12415722</v>
      </c>
      <c r="O46" s="8">
        <f t="shared" si="29"/>
        <v>1.0134704139355302</v>
      </c>
      <c r="P46" s="22">
        <f t="shared" si="32"/>
        <v>2667.7529007305543</v>
      </c>
      <c r="Q46" s="8">
        <f t="shared" si="30"/>
        <v>1.2408153026653741</v>
      </c>
    </row>
    <row r="47" spans="2:17" x14ac:dyDescent="0.7">
      <c r="B47" s="3" t="s">
        <v>225</v>
      </c>
      <c r="C47" s="12" t="s">
        <v>136</v>
      </c>
      <c r="D47" s="25">
        <v>324.28571428571428</v>
      </c>
      <c r="E47" s="131">
        <f t="shared" si="25"/>
        <v>0.70959674898405745</v>
      </c>
      <c r="F47" s="19">
        <v>12858417</v>
      </c>
      <c r="G47" s="131">
        <f t="shared" si="26"/>
        <v>0.64768150335410368</v>
      </c>
      <c r="H47" s="22">
        <f t="shared" si="31"/>
        <v>5664.500881057269</v>
      </c>
      <c r="I47" s="131">
        <f t="shared" si="27"/>
        <v>0.91274587190739109</v>
      </c>
      <c r="J47" s="3" t="s">
        <v>225</v>
      </c>
      <c r="K47" s="12" t="s">
        <v>136</v>
      </c>
      <c r="L47" s="25">
        <v>657.85714285714289</v>
      </c>
      <c r="M47" s="8">
        <f t="shared" si="28"/>
        <v>0.80817830817830827</v>
      </c>
      <c r="N47" s="14">
        <v>9599425</v>
      </c>
      <c r="O47" s="8">
        <f t="shared" si="29"/>
        <v>0.78358175451198708</v>
      </c>
      <c r="P47" s="22">
        <f t="shared" si="32"/>
        <v>2084.5656894679696</v>
      </c>
      <c r="Q47" s="8">
        <f t="shared" si="30"/>
        <v>0.96956543696184638</v>
      </c>
    </row>
    <row r="48" spans="2:17" x14ac:dyDescent="0.7">
      <c r="B48" s="3" t="s">
        <v>226</v>
      </c>
      <c r="C48" s="12" t="s">
        <v>145</v>
      </c>
      <c r="D48" s="25">
        <v>331</v>
      </c>
      <c r="E48" s="131">
        <f t="shared" si="25"/>
        <v>0.72428884026258211</v>
      </c>
      <c r="F48" s="19">
        <v>13128158</v>
      </c>
      <c r="G48" s="131">
        <f t="shared" si="26"/>
        <v>0.66126842127691166</v>
      </c>
      <c r="H48" s="22">
        <f t="shared" si="31"/>
        <v>5666.015537332758</v>
      </c>
      <c r="I48" s="131">
        <f t="shared" si="27"/>
        <v>0.9129899351164612</v>
      </c>
      <c r="J48" s="3" t="s">
        <v>226</v>
      </c>
      <c r="K48" s="12" t="s">
        <v>145</v>
      </c>
      <c r="L48" s="25">
        <v>696.57142857142856</v>
      </c>
      <c r="M48" s="8">
        <f t="shared" si="28"/>
        <v>0.85573885573885566</v>
      </c>
      <c r="N48" s="14">
        <v>11306517</v>
      </c>
      <c r="O48" s="8">
        <f t="shared" si="29"/>
        <v>0.92292824083521763</v>
      </c>
      <c r="P48" s="22">
        <f t="shared" si="32"/>
        <v>2318.8098851517639</v>
      </c>
      <c r="Q48" s="8">
        <f t="shared" si="30"/>
        <v>1.0785162256519831</v>
      </c>
    </row>
    <row r="49" spans="2:17" x14ac:dyDescent="0.7">
      <c r="B49" s="3" t="s">
        <v>227</v>
      </c>
      <c r="C49" s="12" t="s">
        <v>154</v>
      </c>
      <c r="D49" s="25">
        <v>301.28571428571428</v>
      </c>
      <c r="E49" s="131">
        <f t="shared" si="25"/>
        <v>0.65926852141294157</v>
      </c>
      <c r="F49" s="19">
        <v>13311990</v>
      </c>
      <c r="G49" s="131">
        <f t="shared" si="26"/>
        <v>0.67052808256527963</v>
      </c>
      <c r="H49" s="22">
        <f>F49/7/D49</f>
        <v>6311.99146514936</v>
      </c>
      <c r="I49" s="131">
        <f t="shared" si="27"/>
        <v>1.0170788696663486</v>
      </c>
      <c r="J49" s="3" t="s">
        <v>227</v>
      </c>
      <c r="K49" s="12" t="s">
        <v>154</v>
      </c>
      <c r="L49" s="25">
        <v>726.57142857142856</v>
      </c>
      <c r="M49" s="8">
        <f t="shared" si="28"/>
        <v>0.89259389259389255</v>
      </c>
      <c r="N49" s="14">
        <v>10922801</v>
      </c>
      <c r="O49" s="8">
        <f t="shared" si="29"/>
        <v>0.89160627555976391</v>
      </c>
      <c r="P49" s="22">
        <f>N49/7/L49</f>
        <v>2147.6211167911915</v>
      </c>
      <c r="Q49" s="8">
        <f t="shared" si="30"/>
        <v>0.99889354269357744</v>
      </c>
    </row>
    <row r="50" spans="2:17" x14ac:dyDescent="0.7">
      <c r="B50" s="3" t="s">
        <v>228</v>
      </c>
      <c r="C50" s="12" t="s">
        <v>163</v>
      </c>
      <c r="D50" s="9">
        <v>388.71428571428572</v>
      </c>
      <c r="E50" s="8">
        <f t="shared" si="25"/>
        <v>0.85057830572053772</v>
      </c>
      <c r="F50" s="19">
        <v>17173033</v>
      </c>
      <c r="G50" s="8">
        <f t="shared" si="26"/>
        <v>0.86500973102596013</v>
      </c>
      <c r="H50" s="22">
        <f>F50/7/D50</f>
        <v>6311.2947445791988</v>
      </c>
      <c r="I50" s="8">
        <f t="shared" si="27"/>
        <v>1.0169666040250078</v>
      </c>
      <c r="J50" s="3" t="s">
        <v>228</v>
      </c>
      <c r="K50" s="12" t="s">
        <v>163</v>
      </c>
      <c r="L50" s="25">
        <v>753.28571428571433</v>
      </c>
      <c r="M50" s="8">
        <f t="shared" si="28"/>
        <v>0.92541242541242552</v>
      </c>
      <c r="N50" s="14">
        <v>11532953</v>
      </c>
      <c r="O50" s="8">
        <f t="shared" si="29"/>
        <v>0.94141175606291883</v>
      </c>
      <c r="P50" s="22">
        <f>N50/7/L50</f>
        <v>2187.1710601175801</v>
      </c>
      <c r="Q50" s="8">
        <f t="shared" si="30"/>
        <v>1.0172888651709675</v>
      </c>
    </row>
    <row r="51" spans="2:17" x14ac:dyDescent="0.7">
      <c r="B51" s="3" t="s">
        <v>229</v>
      </c>
      <c r="C51" s="12" t="s">
        <v>172</v>
      </c>
      <c r="D51" s="9">
        <v>370.28571428571428</v>
      </c>
      <c r="E51" s="8">
        <f t="shared" si="25"/>
        <v>0.81025320412628943</v>
      </c>
      <c r="F51" s="19">
        <v>17172000</v>
      </c>
      <c r="G51" s="8">
        <f t="shared" si="26"/>
        <v>0.86495769857181237</v>
      </c>
      <c r="H51" s="22">
        <f>F51/7/D51</f>
        <v>6625.0000000000009</v>
      </c>
      <c r="I51" s="8">
        <f t="shared" si="27"/>
        <v>1.0675153077666775</v>
      </c>
      <c r="J51" s="3" t="s">
        <v>229</v>
      </c>
      <c r="K51" s="12" t="s">
        <v>172</v>
      </c>
      <c r="L51" s="25">
        <v>777.85714285714289</v>
      </c>
      <c r="M51" s="8">
        <f t="shared" si="28"/>
        <v>0.95559845559845569</v>
      </c>
      <c r="N51" s="14">
        <v>12355765</v>
      </c>
      <c r="O51" s="8">
        <f t="shared" si="29"/>
        <v>1.0085762446227562</v>
      </c>
      <c r="P51" s="22">
        <f>N51/7/L51</f>
        <v>2269.1946740128556</v>
      </c>
      <c r="Q51" s="8">
        <f t="shared" si="30"/>
        <v>1.0554393832617932</v>
      </c>
    </row>
    <row r="52" spans="2:17" x14ac:dyDescent="0.7">
      <c r="B52" s="3" t="s">
        <v>230</v>
      </c>
      <c r="C52" s="12" t="s">
        <v>181</v>
      </c>
      <c r="D52" s="9">
        <v>368.14285714285717</v>
      </c>
      <c r="E52" s="8">
        <f t="shared" si="25"/>
        <v>0.80556423882463279</v>
      </c>
      <c r="F52" s="19">
        <v>17437760</v>
      </c>
      <c r="G52" s="8">
        <f t="shared" si="26"/>
        <v>0.87834409258371815</v>
      </c>
      <c r="H52" s="22">
        <f>F52/7/D52</f>
        <v>6766.6899495537436</v>
      </c>
      <c r="I52" s="8">
        <f t="shared" si="27"/>
        <v>1.0903464308014412</v>
      </c>
      <c r="J52" s="3" t="s">
        <v>230</v>
      </c>
      <c r="K52" s="12" t="s">
        <v>181</v>
      </c>
      <c r="L52" s="25">
        <v>850.71428571428567</v>
      </c>
      <c r="M52" s="8">
        <f t="shared" si="28"/>
        <v>1.0451035451035451</v>
      </c>
      <c r="N52" s="14">
        <v>13015960</v>
      </c>
      <c r="O52" s="8">
        <f t="shared" si="29"/>
        <v>1.0624666345596578</v>
      </c>
      <c r="P52" s="22">
        <f>N52/7/L52</f>
        <v>2185.7195633921074</v>
      </c>
      <c r="Q52" s="8">
        <f t="shared" si="30"/>
        <v>1.0166137504149337</v>
      </c>
    </row>
    <row r="53" spans="2:17" x14ac:dyDescent="0.7">
      <c r="B53" s="3" t="s">
        <v>231</v>
      </c>
      <c r="C53" s="12" t="s">
        <v>198</v>
      </c>
      <c r="D53" s="9">
        <v>333.71428571428572</v>
      </c>
      <c r="E53" s="8">
        <f t="shared" si="25"/>
        <v>0.73022819631134728</v>
      </c>
      <c r="F53" s="19">
        <v>14802329</v>
      </c>
      <c r="G53" s="8">
        <f t="shared" si="26"/>
        <v>0.74559681023426494</v>
      </c>
      <c r="H53" s="22">
        <f>F53/D53/7</f>
        <v>6336.6134417808216</v>
      </c>
      <c r="I53" s="8">
        <f t="shared" si="27"/>
        <v>1.0210463167548858</v>
      </c>
      <c r="J53" s="3" t="s">
        <v>231</v>
      </c>
      <c r="K53" s="12" t="s">
        <v>198</v>
      </c>
      <c r="L53" s="25">
        <v>872.14285714285711</v>
      </c>
      <c r="M53" s="8">
        <f t="shared" si="28"/>
        <v>1.0714285714285714</v>
      </c>
      <c r="N53" s="14">
        <v>13317898</v>
      </c>
      <c r="O53" s="8">
        <f t="shared" si="29"/>
        <v>1.0871132261829937</v>
      </c>
      <c r="P53" s="22">
        <f>N53/L53/7</f>
        <v>2181.4738738738738</v>
      </c>
      <c r="Q53" s="8">
        <f t="shared" si="30"/>
        <v>1.0146390111041272</v>
      </c>
    </row>
    <row r="54" spans="2:17" x14ac:dyDescent="0.7">
      <c r="B54" s="3" t="s">
        <v>232</v>
      </c>
      <c r="C54" s="12" t="s">
        <v>201</v>
      </c>
      <c r="D54" s="9">
        <v>368</v>
      </c>
      <c r="E54" s="8">
        <f t="shared" si="25"/>
        <v>0.80525164113785563</v>
      </c>
      <c r="F54" s="19">
        <v>15674884</v>
      </c>
      <c r="G54" s="8">
        <f t="shared" si="26"/>
        <v>0.78954761181109512</v>
      </c>
      <c r="H54" s="22">
        <f t="shared" ref="H54:H61" si="33">F54/7/D54</f>
        <v>6084.9704968944097</v>
      </c>
      <c r="I54" s="8">
        <f t="shared" si="27"/>
        <v>0.98049798531975663</v>
      </c>
      <c r="J54" s="3" t="s">
        <v>232</v>
      </c>
      <c r="K54" s="12" t="s">
        <v>201</v>
      </c>
      <c r="L54" s="25">
        <v>861</v>
      </c>
      <c r="M54" s="8">
        <f t="shared" si="28"/>
        <v>1.0577395577395576</v>
      </c>
      <c r="N54" s="14">
        <v>13052004</v>
      </c>
      <c r="O54" s="8">
        <f t="shared" si="29"/>
        <v>1.0654088337809269</v>
      </c>
      <c r="P54" s="22">
        <f t="shared" ref="P54:P61" si="34">N54/7/L54</f>
        <v>2165.5888501742161</v>
      </c>
      <c r="Q54" s="8">
        <f t="shared" si="30"/>
        <v>1.0072506279880076</v>
      </c>
    </row>
    <row r="55" spans="2:17" x14ac:dyDescent="0.7">
      <c r="B55" s="3" t="s">
        <v>233</v>
      </c>
      <c r="C55" s="12" t="s">
        <v>203</v>
      </c>
      <c r="D55" s="9">
        <v>394</v>
      </c>
      <c r="E55" s="8">
        <f t="shared" si="25"/>
        <v>0.862144420131291</v>
      </c>
      <c r="F55" s="19">
        <v>17883401</v>
      </c>
      <c r="G55" s="8">
        <f t="shared" si="26"/>
        <v>0.90079113508017983</v>
      </c>
      <c r="H55" s="22">
        <f t="shared" ref="H55:H56" si="35">F55/7/D55</f>
        <v>6484.1918056562727</v>
      </c>
      <c r="I55" s="8">
        <f t="shared" si="27"/>
        <v>1.0448262658163507</v>
      </c>
      <c r="J55" s="3" t="s">
        <v>233</v>
      </c>
      <c r="K55" s="12" t="s">
        <v>203</v>
      </c>
      <c r="L55" s="25">
        <v>905</v>
      </c>
      <c r="M55" s="8">
        <f t="shared" si="28"/>
        <v>1.1117936117936118</v>
      </c>
      <c r="N55" s="14">
        <v>13016468</v>
      </c>
      <c r="O55" s="8">
        <f t="shared" si="29"/>
        <v>1.062508101577869</v>
      </c>
      <c r="P55" s="22">
        <f t="shared" ref="P55:P56" si="36">N55/7/L55</f>
        <v>2054.6910812943961</v>
      </c>
      <c r="Q55" s="8">
        <f t="shared" si="30"/>
        <v>0.9556702703694866</v>
      </c>
    </row>
    <row r="56" spans="2:17" x14ac:dyDescent="0.7">
      <c r="B56" s="3" t="s">
        <v>234</v>
      </c>
      <c r="C56" s="12" t="s">
        <v>205</v>
      </c>
      <c r="D56" s="25">
        <v>412</v>
      </c>
      <c r="E56" s="8">
        <f t="shared" si="25"/>
        <v>0.90153172866520792</v>
      </c>
      <c r="F56" s="19">
        <v>17385978</v>
      </c>
      <c r="G56" s="8">
        <f t="shared" si="26"/>
        <v>0.87573582100513403</v>
      </c>
      <c r="H56" s="22">
        <f t="shared" si="35"/>
        <v>6028.4251040221907</v>
      </c>
      <c r="I56" s="8">
        <f t="shared" si="27"/>
        <v>0.97138657815375296</v>
      </c>
      <c r="J56" s="3" t="s">
        <v>234</v>
      </c>
      <c r="K56" s="12" t="s">
        <v>205</v>
      </c>
      <c r="L56" s="25">
        <v>925</v>
      </c>
      <c r="M56" s="8">
        <f t="shared" si="28"/>
        <v>1.1363636363636365</v>
      </c>
      <c r="N56" s="14">
        <v>12737991</v>
      </c>
      <c r="O56" s="8">
        <f t="shared" si="29"/>
        <v>1.0397765841951889</v>
      </c>
      <c r="P56" s="22">
        <f t="shared" si="36"/>
        <v>1967.2572972972973</v>
      </c>
      <c r="Q56" s="8">
        <f t="shared" si="30"/>
        <v>0.91500339409176623</v>
      </c>
    </row>
    <row r="57" spans="2:17" x14ac:dyDescent="0.7">
      <c r="B57" s="3" t="s">
        <v>235</v>
      </c>
      <c r="C57" s="12" t="s">
        <v>236</v>
      </c>
      <c r="D57" s="9">
        <v>377.14285714285717</v>
      </c>
      <c r="E57" s="8">
        <f t="shared" ref="E57" si="37">D57/$D$35</f>
        <v>0.82525789309159114</v>
      </c>
      <c r="F57" s="19">
        <v>17280979.614002209</v>
      </c>
      <c r="G57" s="8">
        <f t="shared" ref="G57" si="38">F57/$F$35</f>
        <v>0.87044702748624259</v>
      </c>
      <c r="H57" s="22">
        <f t="shared" si="33"/>
        <v>6545.8256113644729</v>
      </c>
      <c r="I57" s="8">
        <f t="shared" ref="I57" si="39">H57/$H$35</f>
        <v>1.0547575912607916</v>
      </c>
      <c r="J57" s="3" t="s">
        <v>235</v>
      </c>
      <c r="K57" s="12" t="s">
        <v>236</v>
      </c>
      <c r="L57" s="25">
        <v>999.14285714285722</v>
      </c>
      <c r="M57" s="8">
        <f t="shared" ref="M57" si="40">L57/$L$35</f>
        <v>1.2274482274482275</v>
      </c>
      <c r="N57" s="14">
        <v>17085928.553684212</v>
      </c>
      <c r="O57" s="8">
        <f t="shared" ref="O57" si="41">N57/$N$35</f>
        <v>1.3946899812814135</v>
      </c>
      <c r="P57" s="22">
        <f t="shared" si="34"/>
        <v>2442.9408855710913</v>
      </c>
      <c r="Q57" s="8">
        <f t="shared" ref="Q57" si="42">P57/$P$35</f>
        <v>1.1362515746842285</v>
      </c>
    </row>
    <row r="58" spans="2:17" x14ac:dyDescent="0.7">
      <c r="B58" s="3" t="s">
        <v>237</v>
      </c>
      <c r="C58" s="12" t="s">
        <v>238</v>
      </c>
      <c r="D58" s="9">
        <v>358</v>
      </c>
      <c r="E58" s="8">
        <f t="shared" si="25"/>
        <v>0.78336980306345738</v>
      </c>
      <c r="F58" s="19">
        <v>15610340.530796165</v>
      </c>
      <c r="G58" s="8">
        <f t="shared" si="26"/>
        <v>0.78629654201256316</v>
      </c>
      <c r="H58" s="22">
        <f>F58/7/D58</f>
        <v>6229.1861655212151</v>
      </c>
      <c r="I58" s="8">
        <f t="shared" si="27"/>
        <v>1.0037360885467637</v>
      </c>
      <c r="J58" s="3" t="s">
        <v>237</v>
      </c>
      <c r="K58" s="12" t="s">
        <v>238</v>
      </c>
      <c r="L58" s="25">
        <v>867.85714285714289</v>
      </c>
      <c r="M58" s="8">
        <f t="shared" si="28"/>
        <v>1.0661635661635662</v>
      </c>
      <c r="N58" s="14">
        <v>12205038</v>
      </c>
      <c r="O58" s="8">
        <f t="shared" si="29"/>
        <v>0.99627270278433067</v>
      </c>
      <c r="P58" s="22">
        <f t="shared" si="34"/>
        <v>2009.0597530864195</v>
      </c>
      <c r="Q58" s="8">
        <f t="shared" si="30"/>
        <v>0.93444639678438113</v>
      </c>
    </row>
    <row r="59" spans="2:17" x14ac:dyDescent="0.7">
      <c r="B59" s="3" t="s">
        <v>239</v>
      </c>
      <c r="C59" s="12" t="s">
        <v>240</v>
      </c>
      <c r="D59" s="9">
        <v>344.42857142857144</v>
      </c>
      <c r="E59" s="8">
        <f t="shared" ref="E59:E60" si="43">D59/$D$35</f>
        <v>0.75367302281963122</v>
      </c>
      <c r="F59" s="19">
        <v>15179733.382723909</v>
      </c>
      <c r="G59" s="8">
        <f t="shared" ref="G59:G60" si="44">F59/$F$35</f>
        <v>0.76460675819092616</v>
      </c>
      <c r="H59" s="22">
        <f t="shared" ref="H59:H60" si="45">F59/7/D59</f>
        <v>6296.0320956963533</v>
      </c>
      <c r="I59" s="8">
        <f t="shared" ref="I59:I60" si="46">H59/$H$35</f>
        <v>1.0145072664673467</v>
      </c>
      <c r="J59" s="3" t="s">
        <v>239</v>
      </c>
      <c r="K59" s="12" t="s">
        <v>240</v>
      </c>
      <c r="L59" s="25">
        <v>835</v>
      </c>
      <c r="M59" s="8">
        <f t="shared" ref="M59:M60" si="47">L59/$L$35</f>
        <v>1.0257985257985258</v>
      </c>
      <c r="N59" s="14">
        <v>11776145.052631581</v>
      </c>
      <c r="O59" s="8">
        <f t="shared" ref="O59:O60" si="48">N59/$N$35</f>
        <v>0.96126303416389114</v>
      </c>
      <c r="P59" s="22">
        <f t="shared" ref="P59:P60" si="49">N59/7/L59</f>
        <v>2014.7382468146418</v>
      </c>
      <c r="Q59" s="8">
        <f t="shared" ref="Q59:Q60" si="50">P59/$P$35</f>
        <v>0.93708755665797294</v>
      </c>
    </row>
    <row r="60" spans="2:17" x14ac:dyDescent="0.7">
      <c r="B60" s="3" t="s">
        <v>250</v>
      </c>
      <c r="C60" s="12" t="s">
        <v>251</v>
      </c>
      <c r="D60" s="9">
        <v>310.14285714285717</v>
      </c>
      <c r="E60" s="8">
        <f t="shared" si="43"/>
        <v>0.67864957799312287</v>
      </c>
      <c r="F60" s="19">
        <v>13387697.58914323</v>
      </c>
      <c r="G60" s="8">
        <f t="shared" si="44"/>
        <v>0.67434149172377877</v>
      </c>
      <c r="H60" s="22">
        <f t="shared" si="45"/>
        <v>6166.6041405542273</v>
      </c>
      <c r="I60" s="8">
        <f t="shared" si="46"/>
        <v>0.99365197237419067</v>
      </c>
      <c r="J60" s="3" t="s">
        <v>250</v>
      </c>
      <c r="K60" s="12" t="s">
        <v>251</v>
      </c>
      <c r="L60" s="25">
        <v>795.7142857</v>
      </c>
      <c r="M60" s="8">
        <f t="shared" si="47"/>
        <v>0.97753597751842758</v>
      </c>
      <c r="N60" s="14">
        <v>12296885.210526319</v>
      </c>
      <c r="O60" s="8">
        <f t="shared" si="48"/>
        <v>1.0037700058385495</v>
      </c>
      <c r="P60" s="22">
        <f t="shared" si="49"/>
        <v>2207.6993197032475</v>
      </c>
      <c r="Q60" s="8">
        <f t="shared" si="50"/>
        <v>1.0268368928852314</v>
      </c>
    </row>
    <row r="61" spans="2:17" x14ac:dyDescent="0.7">
      <c r="B61" s="3" t="s">
        <v>243</v>
      </c>
      <c r="C61" s="12" t="s">
        <v>244</v>
      </c>
      <c r="D61" s="9">
        <v>325</v>
      </c>
      <c r="E61" s="8">
        <f t="shared" si="25"/>
        <v>0.71115973741794314</v>
      </c>
      <c r="F61" s="19">
        <v>14467020.389606319</v>
      </c>
      <c r="G61" s="8">
        <f t="shared" si="26"/>
        <v>0.72870723627913847</v>
      </c>
      <c r="H61" s="22">
        <f t="shared" si="33"/>
        <v>6359.1298415851952</v>
      </c>
      <c r="I61" s="8">
        <f t="shared" si="27"/>
        <v>1.0246744830140502</v>
      </c>
      <c r="J61" s="3" t="s">
        <v>243</v>
      </c>
      <c r="K61" s="12" t="s">
        <v>244</v>
      </c>
      <c r="L61" s="25">
        <v>769.71428571428567</v>
      </c>
      <c r="M61" s="8">
        <f t="shared" si="28"/>
        <v>0.9455949455949455</v>
      </c>
      <c r="N61" s="14">
        <v>9743595</v>
      </c>
      <c r="O61" s="8">
        <f t="shared" si="29"/>
        <v>0.79535006162913136</v>
      </c>
      <c r="P61" s="22">
        <f t="shared" si="34"/>
        <v>1808.3880846325169</v>
      </c>
      <c r="Q61" s="8">
        <f t="shared" si="30"/>
        <v>0.84111073703837991</v>
      </c>
    </row>
    <row r="62" spans="2:17" x14ac:dyDescent="0.7">
      <c r="B62" s="3" t="s">
        <v>245</v>
      </c>
      <c r="C62" s="12" t="s">
        <v>246</v>
      </c>
      <c r="D62" s="9">
        <v>335.71</v>
      </c>
      <c r="E62" s="8">
        <f t="shared" ref="E62" si="51">D62/$D$35</f>
        <v>0.73459518599562357</v>
      </c>
      <c r="F62" s="19">
        <v>15271075.37819469</v>
      </c>
      <c r="G62" s="8">
        <f t="shared" ref="G62" si="52">F62/$F$35</f>
        <v>0.76920767609130847</v>
      </c>
      <c r="H62" s="22">
        <f t="shared" ref="H62" si="53">F62/7/D62</f>
        <v>6498.4129066305914</v>
      </c>
      <c r="I62" s="8">
        <f t="shared" ref="I62" si="54">H62/$H$35</f>
        <v>1.0471177741912008</v>
      </c>
      <c r="J62" s="3" t="s">
        <v>252</v>
      </c>
      <c r="K62" s="12" t="s">
        <v>253</v>
      </c>
      <c r="L62" s="25">
        <v>830</v>
      </c>
      <c r="M62" s="8">
        <f t="shared" ref="M62" si="55">L62/$L$35</f>
        <v>1.0196560196560196</v>
      </c>
      <c r="N62" s="14">
        <v>12179580.84210526</v>
      </c>
      <c r="O62" s="8">
        <f t="shared" ref="O62" si="56">N62/$N$35</f>
        <v>0.99419468618979001</v>
      </c>
      <c r="P62" s="22">
        <f t="shared" ref="P62" si="57">N62/7/L62</f>
        <v>2096.3133979527124</v>
      </c>
      <c r="Q62" s="8">
        <f t="shared" ref="Q62" si="58">P62/$P$35</f>
        <v>0.97502948741986628</v>
      </c>
    </row>
    <row r="63" spans="2:17" x14ac:dyDescent="0.7">
      <c r="B63" s="3" t="s">
        <v>512</v>
      </c>
      <c r="C63" s="12" t="s">
        <v>514</v>
      </c>
      <c r="D63" s="9">
        <v>319</v>
      </c>
      <c r="E63" s="8">
        <f t="shared" ref="E63" si="59">D63/$D$35</f>
        <v>0.69803063457330417</v>
      </c>
      <c r="F63" s="19">
        <v>14508845.49789601</v>
      </c>
      <c r="G63" s="8">
        <f t="shared" ref="G63" si="60">F63/$F$35</f>
        <v>0.73081397686898053</v>
      </c>
      <c r="H63" s="22">
        <f t="shared" ref="H63" si="61">F63/7/D63</f>
        <v>6497.4677554393238</v>
      </c>
      <c r="I63" s="8">
        <f t="shared" ref="I63" si="62">H63/$H$35</f>
        <v>1.046965477834245</v>
      </c>
      <c r="J63" s="3" t="s">
        <v>512</v>
      </c>
      <c r="K63" s="12" t="s">
        <v>514</v>
      </c>
      <c r="L63" s="25">
        <v>844.14285714285711</v>
      </c>
      <c r="M63" s="8">
        <f t="shared" ref="M63" si="63">L63/$L$35</f>
        <v>1.037030537030537</v>
      </c>
      <c r="N63" s="14">
        <v>13179802.947368421</v>
      </c>
      <c r="O63" s="8">
        <f t="shared" ref="O63" si="64">N63/$N$35</f>
        <v>1.0758408048004131</v>
      </c>
      <c r="P63" s="22">
        <f t="shared" ref="P63" si="65">N63/7/L63</f>
        <v>2230.4625059009009</v>
      </c>
      <c r="Q63" s="8">
        <f t="shared" ref="Q63" si="66">P63/$P$35</f>
        <v>1.0374244213492563</v>
      </c>
    </row>
    <row r="65" spans="2:17" x14ac:dyDescent="0.7">
      <c r="C65" s="4" t="s">
        <v>254</v>
      </c>
    </row>
    <row r="66" spans="2:17" x14ac:dyDescent="0.7">
      <c r="C66" s="4" t="s">
        <v>255</v>
      </c>
    </row>
    <row r="67" spans="2:17" ht="27.6" x14ac:dyDescent="0.95">
      <c r="B67" s="110" t="s">
        <v>256</v>
      </c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</row>
    <row r="68" spans="2:17" x14ac:dyDescent="0.7">
      <c r="B68" s="109" t="s">
        <v>257</v>
      </c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</row>
    <row r="69" spans="2:17" x14ac:dyDescent="0.7">
      <c r="B69" s="109" t="s">
        <v>258</v>
      </c>
      <c r="C69" s="109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</row>
    <row r="70" spans="2:17" x14ac:dyDescent="0.7">
      <c r="B70" s="109" t="s">
        <v>259</v>
      </c>
      <c r="C70" s="109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</row>
    <row r="71" spans="2:17" x14ac:dyDescent="0.7">
      <c r="B71" s="109" t="s">
        <v>260</v>
      </c>
      <c r="C71" s="109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</row>
    <row r="72" spans="2:17" x14ac:dyDescent="0.7">
      <c r="B72" s="109" t="s">
        <v>261</v>
      </c>
      <c r="C72" s="109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</row>
    <row r="73" spans="2:17" x14ac:dyDescent="0.7"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</row>
    <row r="74" spans="2:17" x14ac:dyDescent="0.7">
      <c r="B74" s="109" t="s">
        <v>262</v>
      </c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</row>
    <row r="75" spans="2:17" x14ac:dyDescent="0.7">
      <c r="B75" s="109" t="s">
        <v>263</v>
      </c>
      <c r="C75" s="109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</row>
    <row r="76" spans="2:17" x14ac:dyDescent="0.7">
      <c r="B76" s="109" t="s">
        <v>264</v>
      </c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</row>
    <row r="77" spans="2:17" x14ac:dyDescent="0.7">
      <c r="B77" s="109"/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</row>
  </sheetData>
  <mergeCells count="6">
    <mergeCell ref="B3:C3"/>
    <mergeCell ref="B34:C34"/>
    <mergeCell ref="J34:K34"/>
    <mergeCell ref="B35:C35"/>
    <mergeCell ref="J35:K35"/>
    <mergeCell ref="B4:C4"/>
  </mergeCells>
  <phoneticPr fontId="20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362F-5E3A-4DC4-A9E7-52C71E5154A1}">
  <sheetPr>
    <tabColor rgb="FFFF0000"/>
  </sheetPr>
  <dimension ref="B1:AW96"/>
  <sheetViews>
    <sheetView showGridLines="0" tabSelected="1" topLeftCell="A39" zoomScale="93" zoomScaleNormal="90" workbookViewId="0">
      <selection activeCell="D64" sqref="D64"/>
    </sheetView>
  </sheetViews>
  <sheetFormatPr defaultColWidth="8.6640625" defaultRowHeight="9.6" x14ac:dyDescent="0.15"/>
  <cols>
    <col min="1" max="1" width="3.33203125" style="60" customWidth="1"/>
    <col min="2" max="3" width="8.6640625" style="60"/>
    <col min="4" max="5" width="8.6640625" style="60" bestFit="1" customWidth="1"/>
    <col min="6" max="7" width="8.6640625" style="60" customWidth="1"/>
    <col min="8" max="8" width="9.6640625" style="60" customWidth="1"/>
    <col min="9" max="9" width="8.6640625" style="60" customWidth="1"/>
    <col min="10" max="11" width="8.6640625" style="60"/>
    <col min="12" max="13" width="8.6640625" style="60" bestFit="1" customWidth="1"/>
    <col min="14" max="15" width="8.6640625" style="60" customWidth="1"/>
    <col min="16" max="16" width="9.6640625" style="60" customWidth="1"/>
    <col min="17" max="17" width="8.6640625" style="60" customWidth="1"/>
    <col min="18" max="19" width="8.6640625" style="60"/>
    <col min="20" max="21" width="8.6640625" style="60" bestFit="1" customWidth="1"/>
    <col min="22" max="23" width="8.6640625" style="60" customWidth="1"/>
    <col min="24" max="24" width="9.6640625" style="60" customWidth="1"/>
    <col min="25" max="25" width="8.6640625" style="60" customWidth="1"/>
    <col min="26" max="29" width="8.6640625" style="60"/>
    <col min="30" max="33" width="8.6640625" style="60" customWidth="1"/>
    <col min="34" max="37" width="8.6640625" style="60"/>
    <col min="38" max="41" width="8.6640625" style="60" customWidth="1"/>
    <col min="42" max="45" width="8.6640625" style="60"/>
    <col min="46" max="49" width="8.6640625" style="60" customWidth="1"/>
    <col min="50" max="16384" width="8.6640625" style="60"/>
  </cols>
  <sheetData>
    <row r="1" spans="2:25" ht="18" customHeight="1" x14ac:dyDescent="0.15"/>
    <row r="2" spans="2:25" s="77" customFormat="1" ht="16.95" customHeight="1" x14ac:dyDescent="0.5">
      <c r="B2" s="95" t="s">
        <v>265</v>
      </c>
    </row>
    <row r="3" spans="2:25" ht="15" x14ac:dyDescent="0.5">
      <c r="B3" s="143" t="s">
        <v>266</v>
      </c>
      <c r="C3" s="144"/>
      <c r="D3" s="59" t="s">
        <v>248</v>
      </c>
      <c r="E3" s="59" t="s">
        <v>212</v>
      </c>
      <c r="F3" s="59" t="s">
        <v>6</v>
      </c>
      <c r="G3" s="59" t="s">
        <v>212</v>
      </c>
      <c r="H3" s="59" t="s">
        <v>7</v>
      </c>
      <c r="I3" s="59" t="s">
        <v>212</v>
      </c>
      <c r="J3" s="143" t="s">
        <v>267</v>
      </c>
      <c r="K3" s="144"/>
      <c r="L3" s="59" t="s">
        <v>248</v>
      </c>
      <c r="M3" s="59" t="s">
        <v>212</v>
      </c>
      <c r="N3" s="59" t="s">
        <v>6</v>
      </c>
      <c r="O3" s="59" t="s">
        <v>212</v>
      </c>
      <c r="P3" s="59" t="s">
        <v>7</v>
      </c>
      <c r="Q3" s="59" t="s">
        <v>212</v>
      </c>
      <c r="R3" s="143" t="s">
        <v>268</v>
      </c>
      <c r="S3" s="144"/>
      <c r="T3" s="59" t="s">
        <v>248</v>
      </c>
      <c r="U3" s="59" t="s">
        <v>212</v>
      </c>
      <c r="V3" s="59" t="s">
        <v>6</v>
      </c>
      <c r="W3" s="59" t="s">
        <v>212</v>
      </c>
      <c r="X3" s="59" t="s">
        <v>7</v>
      </c>
      <c r="Y3" s="59" t="s">
        <v>212</v>
      </c>
    </row>
    <row r="4" spans="2:25" ht="16.2" thickBot="1" x14ac:dyDescent="0.6">
      <c r="B4" s="145" t="s">
        <v>213</v>
      </c>
      <c r="C4" s="146"/>
      <c r="D4" s="81">
        <v>639</v>
      </c>
      <c r="E4" s="82"/>
      <c r="F4" s="83">
        <v>11255897.566666666</v>
      </c>
      <c r="G4" s="84"/>
      <c r="H4" s="85">
        <f>F4/D4/7</f>
        <v>2516.4090245174748</v>
      </c>
      <c r="I4" s="84"/>
      <c r="J4" s="145" t="s">
        <v>213</v>
      </c>
      <c r="K4" s="146"/>
      <c r="L4" s="86">
        <v>140</v>
      </c>
      <c r="M4" s="82"/>
      <c r="N4" s="83">
        <v>2017063.6888888888</v>
      </c>
      <c r="O4" s="84"/>
      <c r="P4" s="85">
        <f>N4/L4/7</f>
        <v>2058.2282539682537</v>
      </c>
      <c r="Q4" s="84"/>
      <c r="R4" s="145" t="s">
        <v>213</v>
      </c>
      <c r="S4" s="146"/>
      <c r="T4" s="86">
        <v>20</v>
      </c>
      <c r="U4" s="80"/>
      <c r="V4" s="62">
        <v>253531.63091666665</v>
      </c>
      <c r="W4" s="78"/>
      <c r="X4" s="85">
        <f>V4/T4/7</f>
        <v>1810.9402208333333</v>
      </c>
      <c r="Y4" s="78"/>
    </row>
    <row r="5" spans="2:25" ht="15.6" thickTop="1" x14ac:dyDescent="0.5">
      <c r="B5" s="66" t="s">
        <v>214</v>
      </c>
      <c r="C5" s="67" t="s">
        <v>21</v>
      </c>
      <c r="D5" s="68">
        <v>501.85714285714283</v>
      </c>
      <c r="E5" s="69">
        <f>D5/$D$4</f>
        <v>0.78537894030851774</v>
      </c>
      <c r="F5" s="70">
        <v>10296149</v>
      </c>
      <c r="G5" s="79">
        <f>F5/$F$4</f>
        <v>0.91473371528283309</v>
      </c>
      <c r="H5" s="71">
        <f>F5/7/D5</f>
        <v>2930.8707657272989</v>
      </c>
      <c r="I5" s="79">
        <f>H5/$H$4</f>
        <v>1.1647036460176809</v>
      </c>
      <c r="J5" s="66" t="s">
        <v>214</v>
      </c>
      <c r="K5" s="67" t="s">
        <v>21</v>
      </c>
      <c r="L5" s="72">
        <v>37.285714285714285</v>
      </c>
      <c r="M5" s="69">
        <f>L5/$L$4</f>
        <v>0.26632653061224487</v>
      </c>
      <c r="N5" s="70">
        <v>187100.68421052632</v>
      </c>
      <c r="O5" s="79">
        <f>N5/$N$4</f>
        <v>9.2758937281545037E-2</v>
      </c>
      <c r="P5" s="71">
        <f>N5/7/L5</f>
        <v>716.86085904416223</v>
      </c>
      <c r="Q5" s="79">
        <f>P5/$P$4</f>
        <v>0.34829026258970941</v>
      </c>
      <c r="R5" s="66" t="s">
        <v>214</v>
      </c>
      <c r="S5" s="67" t="s">
        <v>21</v>
      </c>
      <c r="T5" s="72">
        <v>0</v>
      </c>
      <c r="U5" s="69">
        <f>T5/$T$4</f>
        <v>0</v>
      </c>
      <c r="V5" s="70">
        <v>0</v>
      </c>
      <c r="W5" s="79">
        <f>V5/$V$4</f>
        <v>0</v>
      </c>
      <c r="X5" s="71" t="e">
        <f>V5/7/T5</f>
        <v>#DIV/0!</v>
      </c>
      <c r="Y5" s="79" t="e">
        <f>X5/$X$4</f>
        <v>#DIV/0!</v>
      </c>
    </row>
    <row r="6" spans="2:25" ht="15" x14ac:dyDescent="0.5">
      <c r="B6" s="74" t="s">
        <v>215</v>
      </c>
      <c r="C6" s="59" t="s">
        <v>30</v>
      </c>
      <c r="D6" s="75">
        <v>456.42857142857144</v>
      </c>
      <c r="E6" s="69">
        <f t="shared" ref="E6:E25" si="0">D6/$D$4</f>
        <v>0.7142857142857143</v>
      </c>
      <c r="F6" s="70">
        <v>7941456</v>
      </c>
      <c r="G6" s="79">
        <f t="shared" ref="G6:G25" si="1">F6/$F$4</f>
        <v>0.70553733746812974</v>
      </c>
      <c r="H6" s="71">
        <f t="shared" ref="H6:H20" si="2">F6/7/D6</f>
        <v>2485.5887323943662</v>
      </c>
      <c r="I6" s="79">
        <f t="shared" ref="I6:I25" si="3">H6/$H$4</f>
        <v>0.98775227245538177</v>
      </c>
      <c r="J6" s="74" t="s">
        <v>215</v>
      </c>
      <c r="K6" s="59" t="s">
        <v>30</v>
      </c>
      <c r="L6" s="76">
        <v>64.285714285714292</v>
      </c>
      <c r="M6" s="69">
        <f t="shared" ref="M6:M25" si="4">L6/$L$4</f>
        <v>0.45918367346938782</v>
      </c>
      <c r="N6" s="70">
        <v>861648.21052631573</v>
      </c>
      <c r="O6" s="79">
        <f t="shared" ref="O6:O25" si="5">N6/$N$4</f>
        <v>0.42717947642047915</v>
      </c>
      <c r="P6" s="71">
        <f t="shared" ref="P6:P20" si="6">N6/7/L6</f>
        <v>1914.7738011695903</v>
      </c>
      <c r="Q6" s="79">
        <f t="shared" ref="Q6:Q27" si="7">P6/$P$4</f>
        <v>0.93030197087126565</v>
      </c>
      <c r="R6" s="74" t="s">
        <v>215</v>
      </c>
      <c r="S6" s="59" t="s">
        <v>30</v>
      </c>
      <c r="T6" s="76">
        <v>0</v>
      </c>
      <c r="U6" s="69">
        <f t="shared" ref="U6:U25" si="8">T6/$T$4</f>
        <v>0</v>
      </c>
      <c r="V6" s="70">
        <v>0</v>
      </c>
      <c r="W6" s="79">
        <f t="shared" ref="W6:W25" si="9">V6/$V$4</f>
        <v>0</v>
      </c>
      <c r="X6" s="71" t="e">
        <f t="shared" ref="X6:X20" si="10">V6/7/T6</f>
        <v>#DIV/0!</v>
      </c>
      <c r="Y6" s="79" t="e">
        <f t="shared" ref="Y6:Y25" si="11">X6/$X$4</f>
        <v>#DIV/0!</v>
      </c>
    </row>
    <row r="7" spans="2:25" ht="15" x14ac:dyDescent="0.5">
      <c r="B7" s="74" t="s">
        <v>216</v>
      </c>
      <c r="C7" s="59" t="s">
        <v>39</v>
      </c>
      <c r="D7" s="75">
        <v>516.71428571428567</v>
      </c>
      <c r="E7" s="69">
        <f t="shared" si="0"/>
        <v>0.80862955510842827</v>
      </c>
      <c r="F7" s="70">
        <v>7631377.8947368432</v>
      </c>
      <c r="G7" s="79">
        <f t="shared" si="1"/>
        <v>0.67798928068930597</v>
      </c>
      <c r="H7" s="71">
        <f t="shared" si="2"/>
        <v>2109.8639465681072</v>
      </c>
      <c r="I7" s="79">
        <f t="shared" si="3"/>
        <v>0.83844237006449174</v>
      </c>
      <c r="J7" s="74" t="s">
        <v>216</v>
      </c>
      <c r="K7" s="59" t="s">
        <v>39</v>
      </c>
      <c r="L7" s="76">
        <v>71.571428571428569</v>
      </c>
      <c r="M7" s="69">
        <f t="shared" si="4"/>
        <v>0.51122448979591839</v>
      </c>
      <c r="N7" s="70">
        <v>1183058.7368421052</v>
      </c>
      <c r="O7" s="79">
        <f t="shared" si="5"/>
        <v>0.58652522642643967</v>
      </c>
      <c r="P7" s="71">
        <f t="shared" si="6"/>
        <v>2361.3946843155795</v>
      </c>
      <c r="Q7" s="79">
        <f t="shared" si="7"/>
        <v>1.1472948540876466</v>
      </c>
      <c r="R7" s="74" t="s">
        <v>216</v>
      </c>
      <c r="S7" s="59" t="s">
        <v>39</v>
      </c>
      <c r="T7" s="76">
        <v>0</v>
      </c>
      <c r="U7" s="69">
        <f t="shared" si="8"/>
        <v>0</v>
      </c>
      <c r="V7" s="70">
        <v>0</v>
      </c>
      <c r="W7" s="79">
        <f t="shared" si="9"/>
        <v>0</v>
      </c>
      <c r="X7" s="71" t="e">
        <f t="shared" si="10"/>
        <v>#DIV/0!</v>
      </c>
      <c r="Y7" s="79" t="e">
        <f t="shared" si="11"/>
        <v>#DIV/0!</v>
      </c>
    </row>
    <row r="8" spans="2:25" ht="15" x14ac:dyDescent="0.5">
      <c r="B8" s="74" t="s">
        <v>217</v>
      </c>
      <c r="C8" s="59" t="s">
        <v>48</v>
      </c>
      <c r="D8" s="75">
        <v>580</v>
      </c>
      <c r="E8" s="69">
        <f t="shared" si="0"/>
        <v>0.90766823161189358</v>
      </c>
      <c r="F8" s="70">
        <v>10310225.263157895</v>
      </c>
      <c r="G8" s="79">
        <f t="shared" si="1"/>
        <v>0.91598428309179936</v>
      </c>
      <c r="H8" s="71">
        <f t="shared" si="2"/>
        <v>2539.4643505315012</v>
      </c>
      <c r="I8" s="79">
        <f t="shared" si="3"/>
        <v>1.0091619946476893</v>
      </c>
      <c r="J8" s="74" t="s">
        <v>217</v>
      </c>
      <c r="K8" s="59" t="s">
        <v>48</v>
      </c>
      <c r="L8" s="76">
        <v>89.857142857142861</v>
      </c>
      <c r="M8" s="69">
        <f t="shared" si="4"/>
        <v>0.64183673469387759</v>
      </c>
      <c r="N8" s="70">
        <v>1345461.8947368423</v>
      </c>
      <c r="O8" s="79">
        <f t="shared" si="5"/>
        <v>0.66703986698506168</v>
      </c>
      <c r="P8" s="71">
        <f t="shared" si="6"/>
        <v>2139.0491172286838</v>
      </c>
      <c r="Q8" s="79">
        <f t="shared" si="7"/>
        <v>1.0392672013439752</v>
      </c>
      <c r="R8" s="74" t="s">
        <v>217</v>
      </c>
      <c r="S8" s="59" t="s">
        <v>48</v>
      </c>
      <c r="T8" s="76">
        <v>5.2857142857142856</v>
      </c>
      <c r="U8" s="69">
        <f t="shared" si="8"/>
        <v>0.26428571428571429</v>
      </c>
      <c r="V8" s="70">
        <v>112215.14736842105</v>
      </c>
      <c r="W8" s="79">
        <f t="shared" si="9"/>
        <v>0.4426080760128312</v>
      </c>
      <c r="X8" s="71">
        <f t="shared" si="10"/>
        <v>3032.8418207681366</v>
      </c>
      <c r="Y8" s="79">
        <f t="shared" si="11"/>
        <v>1.6747332605890908</v>
      </c>
    </row>
    <row r="9" spans="2:25" ht="15" x14ac:dyDescent="0.5">
      <c r="B9" s="74" t="s">
        <v>218</v>
      </c>
      <c r="C9" s="59" t="s">
        <v>57</v>
      </c>
      <c r="D9" s="75">
        <v>601.71428571428567</v>
      </c>
      <c r="E9" s="69">
        <f t="shared" si="0"/>
        <v>0.94164989939637822</v>
      </c>
      <c r="F9" s="70">
        <v>8654837.8947368432</v>
      </c>
      <c r="G9" s="79">
        <f t="shared" si="1"/>
        <v>0.76891583665147867</v>
      </c>
      <c r="H9" s="71">
        <f t="shared" si="2"/>
        <v>2054.8048183135907</v>
      </c>
      <c r="I9" s="79">
        <f t="shared" si="3"/>
        <v>0.81656233080295937</v>
      </c>
      <c r="J9" s="74" t="s">
        <v>218</v>
      </c>
      <c r="K9" s="59" t="s">
        <v>57</v>
      </c>
      <c r="L9" s="76">
        <v>103</v>
      </c>
      <c r="M9" s="69">
        <f t="shared" si="4"/>
        <v>0.73571428571428577</v>
      </c>
      <c r="N9" s="70">
        <v>1276272.4210526317</v>
      </c>
      <c r="O9" s="79">
        <f t="shared" si="5"/>
        <v>0.63273779012683218</v>
      </c>
      <c r="P9" s="71">
        <f t="shared" si="6"/>
        <v>1770.1420541645377</v>
      </c>
      <c r="Q9" s="79">
        <f t="shared" si="7"/>
        <v>0.86003194774520886</v>
      </c>
      <c r="R9" s="74" t="s">
        <v>218</v>
      </c>
      <c r="S9" s="59" t="s">
        <v>57</v>
      </c>
      <c r="T9" s="76">
        <v>11.142857142857142</v>
      </c>
      <c r="U9" s="69">
        <f t="shared" si="8"/>
        <v>0.55714285714285716</v>
      </c>
      <c r="V9" s="70">
        <v>170180.46315789479</v>
      </c>
      <c r="W9" s="79">
        <f t="shared" si="9"/>
        <v>0.67123957094659892</v>
      </c>
      <c r="X9" s="71">
        <f t="shared" si="10"/>
        <v>2181.8008097165998</v>
      </c>
      <c r="Y9" s="79">
        <f t="shared" si="11"/>
        <v>1.2047889734938952</v>
      </c>
    </row>
    <row r="10" spans="2:25" ht="15" x14ac:dyDescent="0.5">
      <c r="B10" s="74" t="s">
        <v>219</v>
      </c>
      <c r="C10" s="59" t="s">
        <v>66</v>
      </c>
      <c r="D10" s="75">
        <v>596.28571428571433</v>
      </c>
      <c r="E10" s="69">
        <f t="shared" si="0"/>
        <v>0.93315448245025723</v>
      </c>
      <c r="F10" s="70">
        <v>8790998.9473684207</v>
      </c>
      <c r="G10" s="79">
        <f t="shared" si="1"/>
        <v>0.78101269981366728</v>
      </c>
      <c r="H10" s="71">
        <f t="shared" si="2"/>
        <v>2106.1329533704888</v>
      </c>
      <c r="I10" s="79">
        <f t="shared" si="3"/>
        <v>0.83695970442418155</v>
      </c>
      <c r="J10" s="74" t="s">
        <v>219</v>
      </c>
      <c r="K10" s="59" t="s">
        <v>66</v>
      </c>
      <c r="L10" s="76">
        <v>102</v>
      </c>
      <c r="M10" s="69">
        <f t="shared" si="4"/>
        <v>0.72857142857142854</v>
      </c>
      <c r="N10" s="70">
        <v>1286164</v>
      </c>
      <c r="O10" s="79">
        <f t="shared" si="5"/>
        <v>0.63764173986419381</v>
      </c>
      <c r="P10" s="71">
        <f t="shared" si="6"/>
        <v>1801.3501400560224</v>
      </c>
      <c r="Q10" s="79">
        <f t="shared" si="7"/>
        <v>0.87519454491163862</v>
      </c>
      <c r="R10" s="74" t="s">
        <v>219</v>
      </c>
      <c r="S10" s="59" t="s">
        <v>66</v>
      </c>
      <c r="T10" s="76">
        <v>15.285714285714286</v>
      </c>
      <c r="U10" s="69">
        <f t="shared" si="8"/>
        <v>0.76428571428571435</v>
      </c>
      <c r="V10" s="70">
        <v>125874.30526315789</v>
      </c>
      <c r="W10" s="79">
        <f t="shared" si="9"/>
        <v>0.49648363325730954</v>
      </c>
      <c r="X10" s="71">
        <f t="shared" si="10"/>
        <v>1176.3953762911951</v>
      </c>
      <c r="Y10" s="79">
        <f t="shared" si="11"/>
        <v>0.64960475379461058</v>
      </c>
    </row>
    <row r="11" spans="2:25" ht="15" x14ac:dyDescent="0.5">
      <c r="B11" s="74" t="s">
        <v>220</v>
      </c>
      <c r="C11" s="59" t="s">
        <v>75</v>
      </c>
      <c r="D11" s="75">
        <v>572.57142857142856</v>
      </c>
      <c r="E11" s="69">
        <f t="shared" si="0"/>
        <v>0.89604292421193832</v>
      </c>
      <c r="F11" s="70">
        <v>10640012.631578948</v>
      </c>
      <c r="G11" s="79">
        <f t="shared" si="1"/>
        <v>0.94528335644137296</v>
      </c>
      <c r="H11" s="71">
        <f t="shared" si="2"/>
        <v>2654.6937703540293</v>
      </c>
      <c r="I11" s="79">
        <f t="shared" si="3"/>
        <v>1.054953206926712</v>
      </c>
      <c r="J11" s="74" t="s">
        <v>220</v>
      </c>
      <c r="K11" s="59" t="s">
        <v>75</v>
      </c>
      <c r="L11" s="76">
        <v>94.142857142857139</v>
      </c>
      <c r="M11" s="69">
        <f t="shared" si="4"/>
        <v>0.67244897959183669</v>
      </c>
      <c r="N11" s="70">
        <v>1560821.8947368423</v>
      </c>
      <c r="O11" s="79">
        <f t="shared" si="5"/>
        <v>0.77380892994837958</v>
      </c>
      <c r="P11" s="71">
        <f t="shared" si="6"/>
        <v>2368.4702499800337</v>
      </c>
      <c r="Q11" s="79">
        <f t="shared" si="7"/>
        <v>1.1507325513648134</v>
      </c>
      <c r="R11" s="74" t="s">
        <v>220</v>
      </c>
      <c r="S11" s="59" t="s">
        <v>75</v>
      </c>
      <c r="T11" s="76">
        <v>17</v>
      </c>
      <c r="U11" s="69">
        <f t="shared" si="8"/>
        <v>0.85</v>
      </c>
      <c r="V11" s="70">
        <v>154764.6947368421</v>
      </c>
      <c r="W11" s="79">
        <f t="shared" si="9"/>
        <v>0.61043544814221518</v>
      </c>
      <c r="X11" s="71">
        <f t="shared" si="10"/>
        <v>1300.543653250774</v>
      </c>
      <c r="Y11" s="79">
        <f t="shared" si="11"/>
        <v>0.71815935075554727</v>
      </c>
    </row>
    <row r="12" spans="2:25" ht="15" x14ac:dyDescent="0.5">
      <c r="B12" s="74" t="s">
        <v>221</v>
      </c>
      <c r="C12" s="59" t="s">
        <v>84</v>
      </c>
      <c r="D12" s="75">
        <v>497.85714285714283</v>
      </c>
      <c r="E12" s="69">
        <f t="shared" si="0"/>
        <v>0.77911915940084953</v>
      </c>
      <c r="F12" s="70">
        <v>10694233.684210528</v>
      </c>
      <c r="G12" s="79">
        <f t="shared" si="1"/>
        <v>0.95010048029226424</v>
      </c>
      <c r="H12" s="71">
        <f t="shared" si="2"/>
        <v>3068.6466812655749</v>
      </c>
      <c r="I12" s="79">
        <f t="shared" si="3"/>
        <v>1.2194546480193109</v>
      </c>
      <c r="J12" s="74" t="s">
        <v>221</v>
      </c>
      <c r="K12" s="59" t="s">
        <v>84</v>
      </c>
      <c r="L12" s="76">
        <v>91.571428571428569</v>
      </c>
      <c r="M12" s="69">
        <f t="shared" si="4"/>
        <v>0.65408163265306118</v>
      </c>
      <c r="N12" s="70">
        <v>1218777.6842105263</v>
      </c>
      <c r="O12" s="79">
        <f t="shared" si="5"/>
        <v>0.6042336148948757</v>
      </c>
      <c r="P12" s="71">
        <f t="shared" si="6"/>
        <v>1901.3692421381065</v>
      </c>
      <c r="Q12" s="79">
        <f t="shared" si="7"/>
        <v>0.92378930202336706</v>
      </c>
      <c r="R12" s="74" t="s">
        <v>221</v>
      </c>
      <c r="S12" s="59" t="s">
        <v>84</v>
      </c>
      <c r="T12" s="76">
        <v>17</v>
      </c>
      <c r="U12" s="69">
        <f t="shared" si="8"/>
        <v>0.85</v>
      </c>
      <c r="V12" s="70">
        <v>182019.50526315792</v>
      </c>
      <c r="W12" s="79">
        <f t="shared" si="9"/>
        <v>0.71793608002697673</v>
      </c>
      <c r="X12" s="71">
        <f t="shared" si="10"/>
        <v>1529.5756744803186</v>
      </c>
      <c r="Y12" s="79">
        <f t="shared" si="11"/>
        <v>0.84463068238467842</v>
      </c>
    </row>
    <row r="13" spans="2:25" ht="15" x14ac:dyDescent="0.5">
      <c r="B13" s="74" t="s">
        <v>222</v>
      </c>
      <c r="C13" s="59" t="s">
        <v>93</v>
      </c>
      <c r="D13" s="75">
        <v>505.28571428571428</v>
      </c>
      <c r="E13" s="69">
        <f t="shared" si="0"/>
        <v>0.79074446680080479</v>
      </c>
      <c r="F13" s="70">
        <v>8665281.0526315793</v>
      </c>
      <c r="G13" s="79">
        <f t="shared" si="1"/>
        <v>0.76984363097733177</v>
      </c>
      <c r="H13" s="71">
        <f t="shared" si="2"/>
        <v>2449.8956891805428</v>
      </c>
      <c r="I13" s="79">
        <f t="shared" si="3"/>
        <v>0.97356815418761822</v>
      </c>
      <c r="J13" s="74" t="s">
        <v>222</v>
      </c>
      <c r="K13" s="59" t="s">
        <v>93</v>
      </c>
      <c r="L13" s="76">
        <v>91.142857142857139</v>
      </c>
      <c r="M13" s="69">
        <f t="shared" si="4"/>
        <v>0.65102040816326523</v>
      </c>
      <c r="N13" s="70">
        <v>1090624</v>
      </c>
      <c r="O13" s="79">
        <f t="shared" si="5"/>
        <v>0.54069884159224368</v>
      </c>
      <c r="P13" s="71">
        <f t="shared" si="6"/>
        <v>1709.4420062695926</v>
      </c>
      <c r="Q13" s="79">
        <f t="shared" si="7"/>
        <v>0.83054054037680081</v>
      </c>
      <c r="R13" s="74" t="s">
        <v>222</v>
      </c>
      <c r="S13" s="59" t="s">
        <v>93</v>
      </c>
      <c r="T13" s="76">
        <v>15.857142857142858</v>
      </c>
      <c r="U13" s="69">
        <f t="shared" si="8"/>
        <v>0.79285714285714293</v>
      </c>
      <c r="V13" s="70">
        <v>151586.15789473685</v>
      </c>
      <c r="W13" s="79">
        <f t="shared" si="9"/>
        <v>0.59789840560194929</v>
      </c>
      <c r="X13" s="71">
        <f t="shared" si="10"/>
        <v>1365.6410621147463</v>
      </c>
      <c r="Y13" s="79">
        <f t="shared" si="11"/>
        <v>0.75410609715561161</v>
      </c>
    </row>
    <row r="14" spans="2:25" ht="15" x14ac:dyDescent="0.5">
      <c r="B14" s="74" t="s">
        <v>223</v>
      </c>
      <c r="C14" s="59" t="s">
        <v>102</v>
      </c>
      <c r="D14" s="75">
        <v>548</v>
      </c>
      <c r="E14" s="69">
        <f t="shared" si="0"/>
        <v>0.85758998435054778</v>
      </c>
      <c r="F14" s="70">
        <v>13485840.000000002</v>
      </c>
      <c r="G14" s="79">
        <f t="shared" si="1"/>
        <v>1.1981132486437254</v>
      </c>
      <c r="H14" s="71">
        <f t="shared" si="2"/>
        <v>3515.5995828988534</v>
      </c>
      <c r="I14" s="79">
        <f t="shared" si="3"/>
        <v>1.397070010736023</v>
      </c>
      <c r="J14" s="74" t="s">
        <v>223</v>
      </c>
      <c r="K14" s="59" t="s">
        <v>102</v>
      </c>
      <c r="L14" s="76">
        <v>88.714285714285708</v>
      </c>
      <c r="M14" s="69">
        <f t="shared" si="4"/>
        <v>0.63367346938775504</v>
      </c>
      <c r="N14" s="70">
        <v>1405657.6842105263</v>
      </c>
      <c r="O14" s="79">
        <f t="shared" si="5"/>
        <v>0.69688314352872072</v>
      </c>
      <c r="P14" s="71">
        <f t="shared" si="6"/>
        <v>2263.5389439783035</v>
      </c>
      <c r="Q14" s="79">
        <f t="shared" si="7"/>
        <v>1.0997511765831665</v>
      </c>
      <c r="R14" s="74" t="s">
        <v>223</v>
      </c>
      <c r="S14" s="59" t="s">
        <v>102</v>
      </c>
      <c r="T14" s="76">
        <v>11.285714285714286</v>
      </c>
      <c r="U14" s="69">
        <f t="shared" si="8"/>
        <v>0.56428571428571428</v>
      </c>
      <c r="V14" s="70">
        <v>184252.57894736843</v>
      </c>
      <c r="W14" s="79">
        <f t="shared" si="9"/>
        <v>0.7267439501776819</v>
      </c>
      <c r="X14" s="71">
        <f t="shared" si="10"/>
        <v>2332.311125916056</v>
      </c>
      <c r="Y14" s="79">
        <f t="shared" si="11"/>
        <v>1.2879006712009551</v>
      </c>
    </row>
    <row r="15" spans="2:25" ht="15" x14ac:dyDescent="0.5">
      <c r="B15" s="74" t="s">
        <v>224</v>
      </c>
      <c r="C15" s="59" t="s">
        <v>127</v>
      </c>
      <c r="D15" s="75">
        <v>542.71428571428567</v>
      </c>
      <c r="E15" s="69">
        <f t="shared" si="0"/>
        <v>0.8493181310082718</v>
      </c>
      <c r="F15" s="70">
        <v>10798488.421052633</v>
      </c>
      <c r="G15" s="79">
        <f t="shared" si="1"/>
        <v>0.9593627124887304</v>
      </c>
      <c r="H15" s="71">
        <f t="shared" si="2"/>
        <v>2842.4554938280162</v>
      </c>
      <c r="I15" s="79">
        <f t="shared" si="3"/>
        <v>1.1295681529250043</v>
      </c>
      <c r="J15" s="74" t="s">
        <v>224</v>
      </c>
      <c r="K15" s="59" t="s">
        <v>127</v>
      </c>
      <c r="L15" s="76">
        <v>105.42857142857143</v>
      </c>
      <c r="M15" s="69">
        <f t="shared" si="4"/>
        <v>0.75306122448979596</v>
      </c>
      <c r="N15" s="70">
        <v>1565491.3684210526</v>
      </c>
      <c r="O15" s="79">
        <f t="shared" si="5"/>
        <v>0.77612391569222716</v>
      </c>
      <c r="P15" s="71">
        <f t="shared" si="6"/>
        <v>2121.2620168306948</v>
      </c>
      <c r="Q15" s="79">
        <f t="shared" si="7"/>
        <v>1.0306252539002476</v>
      </c>
      <c r="R15" s="74" t="s">
        <v>224</v>
      </c>
      <c r="S15" s="59" t="s">
        <v>127</v>
      </c>
      <c r="T15" s="76">
        <v>16.714285714285715</v>
      </c>
      <c r="U15" s="69">
        <f t="shared" si="8"/>
        <v>0.83571428571428574</v>
      </c>
      <c r="V15" s="70">
        <v>211576.85263157895</v>
      </c>
      <c r="W15" s="79">
        <f t="shared" si="9"/>
        <v>0.83451856427777327</v>
      </c>
      <c r="X15" s="71">
        <f t="shared" si="10"/>
        <v>1808.349167791273</v>
      </c>
      <c r="Y15" s="79">
        <f t="shared" si="11"/>
        <v>0.99856922221271993</v>
      </c>
    </row>
    <row r="16" spans="2:25" ht="15" x14ac:dyDescent="0.5">
      <c r="B16" s="74" t="s">
        <v>225</v>
      </c>
      <c r="C16" s="59" t="s">
        <v>136</v>
      </c>
      <c r="D16" s="75">
        <v>541.57142857142856</v>
      </c>
      <c r="E16" s="69">
        <f t="shared" si="0"/>
        <v>0.84752962217750949</v>
      </c>
      <c r="F16" s="70">
        <v>7815688.4210526329</v>
      </c>
      <c r="G16" s="79">
        <f t="shared" si="1"/>
        <v>0.69436385457149996</v>
      </c>
      <c r="H16" s="71">
        <f t="shared" si="2"/>
        <v>2061.6429493676164</v>
      </c>
      <c r="I16" s="79">
        <f t="shared" si="3"/>
        <v>0.8192797471638934</v>
      </c>
      <c r="J16" s="74" t="s">
        <v>225</v>
      </c>
      <c r="K16" s="59" t="s">
        <v>136</v>
      </c>
      <c r="L16" s="76">
        <v>101.85714285714286</v>
      </c>
      <c r="M16" s="69">
        <f t="shared" si="4"/>
        <v>0.72755102040816333</v>
      </c>
      <c r="N16" s="70">
        <v>1432509.2631578948</v>
      </c>
      <c r="O16" s="79">
        <f t="shared" si="5"/>
        <v>0.7101953552825101</v>
      </c>
      <c r="P16" s="71">
        <f t="shared" si="6"/>
        <v>2009.129401343471</v>
      </c>
      <c r="Q16" s="79">
        <f t="shared" si="7"/>
        <v>0.9761450886070967</v>
      </c>
      <c r="R16" s="74" t="s">
        <v>225</v>
      </c>
      <c r="S16" s="59" t="s">
        <v>136</v>
      </c>
      <c r="T16" s="76">
        <v>14.428571428571429</v>
      </c>
      <c r="U16" s="69">
        <f t="shared" si="8"/>
        <v>0.72142857142857142</v>
      </c>
      <c r="V16" s="70">
        <v>218245.26315789478</v>
      </c>
      <c r="W16" s="79">
        <f t="shared" si="9"/>
        <v>0.86082064935570046</v>
      </c>
      <c r="X16" s="71">
        <f t="shared" si="10"/>
        <v>2160.8441896821264</v>
      </c>
      <c r="Y16" s="79">
        <f t="shared" si="11"/>
        <v>1.1932167416811688</v>
      </c>
    </row>
    <row r="17" spans="2:25" ht="15" x14ac:dyDescent="0.5">
      <c r="B17" s="74" t="s">
        <v>226</v>
      </c>
      <c r="C17" s="59" t="s">
        <v>145</v>
      </c>
      <c r="D17" s="75">
        <v>578.57142857142856</v>
      </c>
      <c r="E17" s="69">
        <f t="shared" si="0"/>
        <v>0.90543259557344058</v>
      </c>
      <c r="F17" s="70">
        <v>9690557.8947368432</v>
      </c>
      <c r="G17" s="79">
        <f t="shared" si="1"/>
        <v>0.86093159939857333</v>
      </c>
      <c r="H17" s="71">
        <f t="shared" si="2"/>
        <v>2392.7303443794676</v>
      </c>
      <c r="I17" s="79">
        <f t="shared" si="3"/>
        <v>0.95085112200242461</v>
      </c>
      <c r="J17" s="74" t="s">
        <v>226</v>
      </c>
      <c r="K17" s="59" t="s">
        <v>145</v>
      </c>
      <c r="L17" s="76">
        <v>101</v>
      </c>
      <c r="M17" s="69">
        <f t="shared" si="4"/>
        <v>0.72142857142857142</v>
      </c>
      <c r="N17" s="70">
        <v>1393825.0526315789</v>
      </c>
      <c r="O17" s="79">
        <f t="shared" si="5"/>
        <v>0.69101687780586418</v>
      </c>
      <c r="P17" s="71">
        <f t="shared" si="6"/>
        <v>1971.4640065510312</v>
      </c>
      <c r="Q17" s="79">
        <f t="shared" si="7"/>
        <v>0.95784517715664352</v>
      </c>
      <c r="R17" s="74" t="s">
        <v>226</v>
      </c>
      <c r="S17" s="59" t="s">
        <v>145</v>
      </c>
      <c r="T17" s="76">
        <v>17</v>
      </c>
      <c r="U17" s="69">
        <f t="shared" si="8"/>
        <v>0.85</v>
      </c>
      <c r="V17" s="70">
        <v>183450.61052631581</v>
      </c>
      <c r="W17" s="79">
        <f t="shared" si="9"/>
        <v>0.72358076135523386</v>
      </c>
      <c r="X17" s="71">
        <f t="shared" si="10"/>
        <v>1541.6017691287043</v>
      </c>
      <c r="Y17" s="79">
        <f t="shared" si="11"/>
        <v>0.85127148394733398</v>
      </c>
    </row>
    <row r="18" spans="2:25" ht="15" x14ac:dyDescent="0.5">
      <c r="B18" s="74" t="s">
        <v>227</v>
      </c>
      <c r="C18" s="59" t="s">
        <v>154</v>
      </c>
      <c r="D18" s="75">
        <v>614.85714285714289</v>
      </c>
      <c r="E18" s="69">
        <f t="shared" si="0"/>
        <v>0.96221775095014539</v>
      </c>
      <c r="F18" s="70">
        <v>9360960.5936842114</v>
      </c>
      <c r="G18" s="79">
        <f t="shared" si="1"/>
        <v>0.83164941207406318</v>
      </c>
      <c r="H18" s="71">
        <f t="shared" si="2"/>
        <v>2174.9443758559969</v>
      </c>
      <c r="I18" s="79">
        <f t="shared" si="3"/>
        <v>0.86430479094035428</v>
      </c>
      <c r="J18" s="74" t="s">
        <v>227</v>
      </c>
      <c r="K18" s="59" t="s">
        <v>154</v>
      </c>
      <c r="L18" s="76">
        <v>99.142857142857139</v>
      </c>
      <c r="M18" s="69">
        <f t="shared" si="4"/>
        <v>0.70816326530612239</v>
      </c>
      <c r="N18" s="70">
        <v>1496170.2947368419</v>
      </c>
      <c r="O18" s="79">
        <f t="shared" si="5"/>
        <v>0.74175659548014372</v>
      </c>
      <c r="P18" s="71">
        <f t="shared" si="6"/>
        <v>2155.8649780069768</v>
      </c>
      <c r="Q18" s="79">
        <f t="shared" si="7"/>
        <v>1.0474372673927101</v>
      </c>
      <c r="R18" s="74" t="s">
        <v>227</v>
      </c>
      <c r="S18" s="59" t="s">
        <v>154</v>
      </c>
      <c r="T18" s="76">
        <v>12.571428571428571</v>
      </c>
      <c r="U18" s="69">
        <f t="shared" si="8"/>
        <v>0.62857142857142856</v>
      </c>
      <c r="V18" s="70">
        <v>168015.38947368419</v>
      </c>
      <c r="W18" s="79">
        <f t="shared" si="9"/>
        <v>0.66269991190530853</v>
      </c>
      <c r="X18" s="71">
        <f t="shared" si="10"/>
        <v>1909.265789473684</v>
      </c>
      <c r="Y18" s="79">
        <f t="shared" si="11"/>
        <v>1.0542953143948091</v>
      </c>
    </row>
    <row r="19" spans="2:25" ht="15" x14ac:dyDescent="0.5">
      <c r="B19" s="74" t="s">
        <v>228</v>
      </c>
      <c r="C19" s="59" t="s">
        <v>163</v>
      </c>
      <c r="D19" s="75">
        <v>639.28571428571433</v>
      </c>
      <c r="E19" s="69">
        <f t="shared" si="0"/>
        <v>1.0004471272076907</v>
      </c>
      <c r="F19" s="70">
        <v>9858792.5852631554</v>
      </c>
      <c r="G19" s="79">
        <f t="shared" si="1"/>
        <v>0.87587795880970765</v>
      </c>
      <c r="H19" s="71">
        <f t="shared" si="2"/>
        <v>2203.0821419582467</v>
      </c>
      <c r="I19" s="79">
        <f t="shared" si="3"/>
        <v>0.87548650497336811</v>
      </c>
      <c r="J19" s="74" t="s">
        <v>228</v>
      </c>
      <c r="K19" s="59" t="s">
        <v>163</v>
      </c>
      <c r="L19" s="76">
        <v>98.428571428571431</v>
      </c>
      <c r="M19" s="69">
        <f t="shared" si="4"/>
        <v>0.70306122448979591</v>
      </c>
      <c r="N19" s="70">
        <v>1381308.210526316</v>
      </c>
      <c r="O19" s="79">
        <f t="shared" si="5"/>
        <v>0.68481140091675419</v>
      </c>
      <c r="P19" s="71">
        <f t="shared" si="6"/>
        <v>2004.8014666564818</v>
      </c>
      <c r="Q19" s="79">
        <f t="shared" si="7"/>
        <v>0.97404234092658804</v>
      </c>
      <c r="R19" s="74" t="s">
        <v>228</v>
      </c>
      <c r="S19" s="59" t="s">
        <v>163</v>
      </c>
      <c r="T19" s="76">
        <v>15.571428571428571</v>
      </c>
      <c r="U19" s="69">
        <f t="shared" si="8"/>
        <v>0.77857142857142858</v>
      </c>
      <c r="V19" s="70">
        <v>179809.85263157895</v>
      </c>
      <c r="W19" s="79">
        <f t="shared" si="9"/>
        <v>0.70922058908965357</v>
      </c>
      <c r="X19" s="71">
        <f t="shared" si="10"/>
        <v>1649.631675519073</v>
      </c>
      <c r="Y19" s="79">
        <f t="shared" si="11"/>
        <v>0.91092552727111464</v>
      </c>
    </row>
    <row r="20" spans="2:25" ht="15" x14ac:dyDescent="0.5">
      <c r="B20" s="74" t="s">
        <v>229</v>
      </c>
      <c r="C20" s="59" t="s">
        <v>172</v>
      </c>
      <c r="D20" s="75">
        <v>668.28571428571433</v>
      </c>
      <c r="E20" s="69">
        <f t="shared" si="0"/>
        <v>1.0458305387882854</v>
      </c>
      <c r="F20" s="70">
        <v>10775991.578947369</v>
      </c>
      <c r="G20" s="79">
        <f t="shared" si="1"/>
        <v>0.95736404095036398</v>
      </c>
      <c r="H20" s="71">
        <f t="shared" si="2"/>
        <v>2303.5467248711775</v>
      </c>
      <c r="I20" s="79">
        <f t="shared" si="3"/>
        <v>0.91541029396557905</v>
      </c>
      <c r="J20" s="74" t="s">
        <v>229</v>
      </c>
      <c r="K20" s="59" t="s">
        <v>172</v>
      </c>
      <c r="L20" s="76">
        <v>93.285714285714292</v>
      </c>
      <c r="M20" s="69">
        <f t="shared" si="4"/>
        <v>0.66632653061224489</v>
      </c>
      <c r="N20" s="70">
        <v>1376902.9473684211</v>
      </c>
      <c r="O20" s="79">
        <f t="shared" si="5"/>
        <v>0.68262740286941359</v>
      </c>
      <c r="P20" s="71">
        <f t="shared" si="6"/>
        <v>2108.5803175626666</v>
      </c>
      <c r="Q20" s="79">
        <f t="shared" si="7"/>
        <v>1.0244637899112181</v>
      </c>
      <c r="R20" s="74" t="s">
        <v>229</v>
      </c>
      <c r="S20" s="59" t="s">
        <v>172</v>
      </c>
      <c r="T20" s="76">
        <v>16.285714285714285</v>
      </c>
      <c r="U20" s="69">
        <f t="shared" si="8"/>
        <v>0.81428571428571428</v>
      </c>
      <c r="V20" s="70">
        <v>198465.26315789475</v>
      </c>
      <c r="W20" s="79">
        <f t="shared" si="9"/>
        <v>0.78280277076404847</v>
      </c>
      <c r="X20" s="71">
        <f t="shared" si="10"/>
        <v>1740.9233610341646</v>
      </c>
      <c r="Y20" s="79">
        <f t="shared" si="11"/>
        <v>0.96133673602602443</v>
      </c>
    </row>
    <row r="21" spans="2:25" ht="15" x14ac:dyDescent="0.5">
      <c r="B21" s="74" t="s">
        <v>230</v>
      </c>
      <c r="C21" s="59" t="s">
        <v>181</v>
      </c>
      <c r="D21" s="75">
        <v>727.57142857142856</v>
      </c>
      <c r="E21" s="69">
        <f t="shared" si="0"/>
        <v>1.1386094343840822</v>
      </c>
      <c r="F21" s="70">
        <v>11450724.210526317</v>
      </c>
      <c r="G21" s="79">
        <f t="shared" si="1"/>
        <v>1.0173088501121947</v>
      </c>
      <c r="H21" s="71">
        <f>F21/D21/7</f>
        <v>2248.3259788977653</v>
      </c>
      <c r="I21" s="79">
        <f t="shared" si="3"/>
        <v>0.89346602916784768</v>
      </c>
      <c r="J21" s="74" t="s">
        <v>230</v>
      </c>
      <c r="K21" s="59" t="s">
        <v>181</v>
      </c>
      <c r="L21" s="76">
        <v>108.71428571428571</v>
      </c>
      <c r="M21" s="69">
        <f t="shared" si="4"/>
        <v>0.77653061224489794</v>
      </c>
      <c r="N21" s="70">
        <v>1373804</v>
      </c>
      <c r="O21" s="79">
        <f t="shared" si="5"/>
        <v>0.68109103721795117</v>
      </c>
      <c r="P21" s="71">
        <f>N21/L21/7</f>
        <v>1805.2614980289093</v>
      </c>
      <c r="Q21" s="79">
        <f t="shared" si="7"/>
        <v>0.87709489681155339</v>
      </c>
      <c r="R21" s="74" t="s">
        <v>230</v>
      </c>
      <c r="S21" s="59" t="s">
        <v>181</v>
      </c>
      <c r="T21" s="76">
        <v>14.428571428571429</v>
      </c>
      <c r="U21" s="69">
        <f t="shared" si="8"/>
        <v>0.72142857142857142</v>
      </c>
      <c r="V21" s="70">
        <v>193127.36842105264</v>
      </c>
      <c r="W21" s="79">
        <f t="shared" si="9"/>
        <v>0.76174861386243242</v>
      </c>
      <c r="X21" s="71">
        <f>V21/T21</f>
        <v>13385.065138092757</v>
      </c>
      <c r="Y21" s="79">
        <f t="shared" si="11"/>
        <v>7.3912241741107305</v>
      </c>
    </row>
    <row r="22" spans="2:25" ht="15" x14ac:dyDescent="0.5">
      <c r="B22" s="74" t="s">
        <v>231</v>
      </c>
      <c r="C22" s="59" t="s">
        <v>198</v>
      </c>
      <c r="D22" s="75">
        <v>745</v>
      </c>
      <c r="E22" s="69">
        <f t="shared" si="0"/>
        <v>1.1658841940532081</v>
      </c>
      <c r="F22" s="70">
        <v>11720952.631578948</v>
      </c>
      <c r="G22" s="79">
        <f t="shared" si="1"/>
        <v>1.0413165686839139</v>
      </c>
      <c r="H22" s="71">
        <f t="shared" ref="H22:H27" si="12">F22/7/D22</f>
        <v>2247.5460463238637</v>
      </c>
      <c r="I22" s="79">
        <f t="shared" si="3"/>
        <v>0.89315609045506184</v>
      </c>
      <c r="J22" s="74" t="s">
        <v>231</v>
      </c>
      <c r="K22" s="59" t="s">
        <v>198</v>
      </c>
      <c r="L22" s="76">
        <v>110</v>
      </c>
      <c r="M22" s="69">
        <f t="shared" si="4"/>
        <v>0.7857142857142857</v>
      </c>
      <c r="N22" s="70">
        <v>1371287.1578947371</v>
      </c>
      <c r="O22" s="79">
        <f t="shared" si="5"/>
        <v>0.67984326198947076</v>
      </c>
      <c r="P22" s="71">
        <f t="shared" ref="P22:P27" si="13">N22/7/L22</f>
        <v>1780.8924128503079</v>
      </c>
      <c r="Q22" s="79">
        <f t="shared" si="7"/>
        <v>0.86525506071387193</v>
      </c>
      <c r="R22" s="74" t="s">
        <v>231</v>
      </c>
      <c r="S22" s="59" t="s">
        <v>198</v>
      </c>
      <c r="T22" s="76">
        <v>15</v>
      </c>
      <c r="U22" s="69">
        <f t="shared" si="8"/>
        <v>0.75</v>
      </c>
      <c r="V22" s="70">
        <v>223410.5263157895</v>
      </c>
      <c r="W22" s="79">
        <f t="shared" si="9"/>
        <v>0.88119389879688159</v>
      </c>
      <c r="X22" s="71">
        <f t="shared" ref="X22:X27" si="14">V22/7/T22</f>
        <v>2127.719298245614</v>
      </c>
      <c r="Y22" s="79">
        <f t="shared" si="11"/>
        <v>1.174925198395842</v>
      </c>
    </row>
    <row r="23" spans="2:25" ht="15" x14ac:dyDescent="0.5">
      <c r="B23" s="74" t="s">
        <v>232</v>
      </c>
      <c r="C23" s="59" t="s">
        <v>201</v>
      </c>
      <c r="D23" s="75">
        <v>738</v>
      </c>
      <c r="E23" s="69">
        <f t="shared" si="0"/>
        <v>1.1549295774647887</v>
      </c>
      <c r="F23" s="70">
        <v>11473896.072631579</v>
      </c>
      <c r="G23" s="79">
        <f t="shared" si="1"/>
        <v>1.0193674919901985</v>
      </c>
      <c r="H23" s="71">
        <f t="shared" si="12"/>
        <v>2221.0406644660429</v>
      </c>
      <c r="I23" s="79">
        <f t="shared" si="3"/>
        <v>0.88262307233297688</v>
      </c>
      <c r="J23" s="74" t="s">
        <v>232</v>
      </c>
      <c r="K23" s="59" t="s">
        <v>201</v>
      </c>
      <c r="L23" s="76">
        <v>102</v>
      </c>
      <c r="M23" s="69">
        <f t="shared" si="4"/>
        <v>0.72857142857142854</v>
      </c>
      <c r="N23" s="70">
        <v>1319942.9473684211</v>
      </c>
      <c r="O23" s="79">
        <f t="shared" si="5"/>
        <v>0.65438833421046771</v>
      </c>
      <c r="P23" s="71">
        <f t="shared" si="13"/>
        <v>1848.6595901518504</v>
      </c>
      <c r="Q23" s="79">
        <f t="shared" si="7"/>
        <v>0.89818006656338722</v>
      </c>
      <c r="R23" s="74" t="s">
        <v>232</v>
      </c>
      <c r="S23" s="59" t="s">
        <v>201</v>
      </c>
      <c r="T23" s="76">
        <v>15</v>
      </c>
      <c r="U23" s="69">
        <f t="shared" si="8"/>
        <v>0.75</v>
      </c>
      <c r="V23" s="70">
        <v>211418.51578947366</v>
      </c>
      <c r="W23" s="79">
        <f t="shared" si="9"/>
        <v>0.83389403927656214</v>
      </c>
      <c r="X23" s="71">
        <f t="shared" si="14"/>
        <v>2013.5096741854636</v>
      </c>
      <c r="Y23" s="79">
        <f t="shared" si="11"/>
        <v>1.1118587190354161</v>
      </c>
    </row>
    <row r="24" spans="2:25" ht="15" x14ac:dyDescent="0.5">
      <c r="B24" s="74" t="s">
        <v>233</v>
      </c>
      <c r="C24" s="59" t="s">
        <v>203</v>
      </c>
      <c r="D24" s="75">
        <v>785</v>
      </c>
      <c r="E24" s="69">
        <f t="shared" si="0"/>
        <v>1.2284820031298904</v>
      </c>
      <c r="F24" s="70">
        <v>11534098.947368421</v>
      </c>
      <c r="G24" s="79">
        <f t="shared" si="1"/>
        <v>1.0247160547663141</v>
      </c>
      <c r="H24" s="71">
        <f t="shared" si="12"/>
        <v>2099.0170968823331</v>
      </c>
      <c r="I24" s="79">
        <f t="shared" si="3"/>
        <v>0.83413192228748378</v>
      </c>
      <c r="J24" s="74" t="s">
        <v>233</v>
      </c>
      <c r="K24" s="59" t="s">
        <v>203</v>
      </c>
      <c r="L24" s="76">
        <v>112</v>
      </c>
      <c r="M24" s="69">
        <f t="shared" si="4"/>
        <v>0.8</v>
      </c>
      <c r="N24" s="70">
        <v>1319396.4210526319</v>
      </c>
      <c r="O24" s="79">
        <f t="shared" si="5"/>
        <v>0.65411738276813114</v>
      </c>
      <c r="P24" s="71">
        <f t="shared" si="13"/>
        <v>1682.9035982814182</v>
      </c>
      <c r="Q24" s="79">
        <f t="shared" si="7"/>
        <v>0.81764672846016395</v>
      </c>
      <c r="R24" s="74" t="s">
        <v>233</v>
      </c>
      <c r="S24" s="59" t="s">
        <v>203</v>
      </c>
      <c r="T24" s="76">
        <v>9</v>
      </c>
      <c r="U24" s="69">
        <f t="shared" si="8"/>
        <v>0.45</v>
      </c>
      <c r="V24" s="70">
        <v>162972.63157894739</v>
      </c>
      <c r="W24" s="79">
        <f t="shared" si="9"/>
        <v>0.6428098576485507</v>
      </c>
      <c r="X24" s="71">
        <f t="shared" si="14"/>
        <v>2586.8671679197996</v>
      </c>
      <c r="Y24" s="79">
        <f t="shared" si="11"/>
        <v>1.4284663503301125</v>
      </c>
    </row>
    <row r="25" spans="2:25" ht="15" x14ac:dyDescent="0.5">
      <c r="B25" s="74" t="s">
        <v>234</v>
      </c>
      <c r="C25" s="59" t="s">
        <v>205</v>
      </c>
      <c r="D25" s="75">
        <v>773</v>
      </c>
      <c r="E25" s="69">
        <f t="shared" si="0"/>
        <v>1.2097026604068857</v>
      </c>
      <c r="F25" s="70">
        <v>11202511</v>
      </c>
      <c r="G25" s="79">
        <f t="shared" si="1"/>
        <v>0.99525701381427223</v>
      </c>
      <c r="H25" s="71">
        <f t="shared" si="12"/>
        <v>2070.3217519866939</v>
      </c>
      <c r="I25" s="79">
        <f t="shared" si="3"/>
        <v>0.82272863108320848</v>
      </c>
      <c r="J25" s="74" t="s">
        <v>234</v>
      </c>
      <c r="K25" s="59" t="s">
        <v>205</v>
      </c>
      <c r="L25" s="76">
        <v>132</v>
      </c>
      <c r="M25" s="69">
        <f t="shared" si="4"/>
        <v>0.94285714285714284</v>
      </c>
      <c r="N25" s="70">
        <v>1383637</v>
      </c>
      <c r="O25" s="79">
        <f t="shared" si="5"/>
        <v>0.6859659452608482</v>
      </c>
      <c r="P25" s="71">
        <f t="shared" si="13"/>
        <v>1497.4426406926407</v>
      </c>
      <c r="Q25" s="79">
        <f t="shared" si="7"/>
        <v>0.72753963891302087</v>
      </c>
      <c r="R25" s="74" t="s">
        <v>234</v>
      </c>
      <c r="S25" s="59" t="s">
        <v>205</v>
      </c>
      <c r="T25" s="76">
        <v>21</v>
      </c>
      <c r="U25" s="69">
        <f t="shared" si="8"/>
        <v>1.05</v>
      </c>
      <c r="V25" s="70">
        <v>151844</v>
      </c>
      <c r="W25" s="79">
        <f t="shared" si="9"/>
        <v>0.59891540732410475</v>
      </c>
      <c r="X25" s="71">
        <f t="shared" si="14"/>
        <v>1032.952380952381</v>
      </c>
      <c r="Y25" s="79">
        <f t="shared" si="11"/>
        <v>0.5703956260229569</v>
      </c>
    </row>
    <row r="26" spans="2:25" ht="15" x14ac:dyDescent="0.5">
      <c r="B26" s="74" t="s">
        <v>235</v>
      </c>
      <c r="C26" s="59" t="s">
        <v>236</v>
      </c>
      <c r="D26" s="75">
        <v>863.14285714285711</v>
      </c>
      <c r="E26" s="69">
        <f t="shared" ref="E26" si="15">D26/$D$4</f>
        <v>1.3507712944332662</v>
      </c>
      <c r="F26" s="70">
        <v>15361162.143157896</v>
      </c>
      <c r="G26" s="79">
        <f t="shared" ref="G26" si="16">F26/$F$4</f>
        <v>1.3647212096748822</v>
      </c>
      <c r="H26" s="71">
        <f t="shared" si="12"/>
        <v>2542.3969121413265</v>
      </c>
      <c r="I26" s="79">
        <f t="shared" ref="I26" si="17">H26/$H$4</f>
        <v>1.0103273702210773</v>
      </c>
      <c r="J26" s="74" t="s">
        <v>235</v>
      </c>
      <c r="K26" s="59" t="s">
        <v>236</v>
      </c>
      <c r="L26" s="76">
        <v>116.42857142857143</v>
      </c>
      <c r="M26" s="69">
        <f t="shared" ref="M26" si="18">L26/$L$4</f>
        <v>0.83163265306122447</v>
      </c>
      <c r="N26" s="70">
        <v>1519306.1052631577</v>
      </c>
      <c r="O26" s="79">
        <f t="shared" ref="O26" si="19">N26/$N$4</f>
        <v>0.75322664010677631</v>
      </c>
      <c r="P26" s="71">
        <f t="shared" si="13"/>
        <v>1864.1792702615433</v>
      </c>
      <c r="Q26" s="79">
        <f t="shared" si="7"/>
        <v>0.90572037706090902</v>
      </c>
      <c r="R26" s="74" t="s">
        <v>235</v>
      </c>
      <c r="S26" s="59" t="s">
        <v>236</v>
      </c>
      <c r="T26" s="76">
        <v>19.142857142857142</v>
      </c>
      <c r="U26" s="69">
        <f t="shared" ref="U26" si="20">T26/$T$4</f>
        <v>0.95714285714285707</v>
      </c>
      <c r="V26" s="70">
        <v>205460.30526315788</v>
      </c>
      <c r="W26" s="79">
        <f t="shared" ref="W26" si="21">V26/$V$4</f>
        <v>0.81039318257961535</v>
      </c>
      <c r="X26" s="71">
        <f t="shared" si="14"/>
        <v>1533.2858601728201</v>
      </c>
      <c r="Y26" s="79">
        <f t="shared" ref="Y26" si="22">X26/$X$4</f>
        <v>0.84667944448616528</v>
      </c>
    </row>
    <row r="27" spans="2:25" ht="15" x14ac:dyDescent="0.5">
      <c r="B27" s="74" t="s">
        <v>269</v>
      </c>
      <c r="C27" s="59" t="s">
        <v>270</v>
      </c>
      <c r="D27" s="75">
        <v>745.42857142857144</v>
      </c>
      <c r="E27" s="69">
        <f t="shared" ref="E27" si="23">D27/$D$4</f>
        <v>1.166554884864744</v>
      </c>
      <c r="F27" s="70">
        <v>10236243.789473685</v>
      </c>
      <c r="G27" s="79">
        <f t="shared" ref="G27" si="24">F27/$F$4</f>
        <v>0.90941159768434676</v>
      </c>
      <c r="H27" s="71">
        <f t="shared" si="12"/>
        <v>1961.7178592322125</v>
      </c>
      <c r="I27" s="79">
        <f t="shared" ref="I27" si="25">H27/$H$4</f>
        <v>0.77957034811078652</v>
      </c>
      <c r="J27" s="74" t="s">
        <v>269</v>
      </c>
      <c r="K27" s="59" t="s">
        <v>270</v>
      </c>
      <c r="L27" s="75">
        <v>104.14285714285714</v>
      </c>
      <c r="M27" s="69">
        <f t="shared" ref="M27" si="26">L27/$L$4</f>
        <v>0.74387755102040809</v>
      </c>
      <c r="N27" s="70">
        <v>1768784</v>
      </c>
      <c r="O27" s="79">
        <f t="shared" ref="O27" si="27">N27/$N$4</f>
        <v>0.87691033740949687</v>
      </c>
      <c r="P27" s="71">
        <f t="shared" si="13"/>
        <v>2426.315500685871</v>
      </c>
      <c r="Q27" s="79">
        <f t="shared" si="7"/>
        <v>1.1788369419222318</v>
      </c>
      <c r="R27" s="74" t="s">
        <v>269</v>
      </c>
      <c r="S27" s="59" t="s">
        <v>270</v>
      </c>
      <c r="T27" s="76">
        <v>18.142857142857142</v>
      </c>
      <c r="U27" s="69">
        <f t="shared" ref="U27" si="28">T27/$T$4</f>
        <v>0.90714285714285714</v>
      </c>
      <c r="V27" s="70">
        <v>200008.4210526316</v>
      </c>
      <c r="W27" s="79">
        <f t="shared" ref="W27" si="29">V27/$V$4</f>
        <v>0.78888941916037447</v>
      </c>
      <c r="X27" s="71">
        <f t="shared" si="14"/>
        <v>1574.8694571073354</v>
      </c>
      <c r="Y27" s="79">
        <f t="shared" ref="Y27" si="30">X27/$X$4</f>
        <v>0.86964187938938908</v>
      </c>
    </row>
    <row r="28" spans="2:25" ht="15" x14ac:dyDescent="0.5">
      <c r="B28" s="74" t="s">
        <v>271</v>
      </c>
      <c r="C28" s="59" t="s">
        <v>272</v>
      </c>
      <c r="D28" s="75">
        <v>689.14285714285711</v>
      </c>
      <c r="E28" s="69">
        <f t="shared" ref="E28" si="31">D28/$D$4</f>
        <v>1.0784708249496981</v>
      </c>
      <c r="F28" s="70">
        <v>10189706.315789476</v>
      </c>
      <c r="G28" s="79">
        <f t="shared" ref="G28" si="32">F28/$F$4</f>
        <v>0.90527710077651913</v>
      </c>
      <c r="H28" s="71">
        <f t="shared" ref="H28" si="33">F28/7/D28</f>
        <v>2112.2940123941703</v>
      </c>
      <c r="I28" s="79">
        <f t="shared" ref="I28" si="34">H28/$H$4</f>
        <v>0.83940805799613827</v>
      </c>
      <c r="J28" s="74" t="s">
        <v>271</v>
      </c>
      <c r="K28" s="59" t="s">
        <v>272</v>
      </c>
      <c r="L28" s="75">
        <v>103.85714285714286</v>
      </c>
      <c r="M28" s="69">
        <f t="shared" ref="M28" si="35">L28/$L$4</f>
        <v>0.74183673469387756</v>
      </c>
      <c r="N28" s="70">
        <v>1406653.4736842103</v>
      </c>
      <c r="O28" s="79">
        <f t="shared" ref="O28" si="36">N28/$N$4</f>
        <v>0.69737682624145281</v>
      </c>
      <c r="P28" s="71">
        <f t="shared" ref="P28" si="37">N28/7/L28</f>
        <v>1934.8741041048283</v>
      </c>
      <c r="Q28" s="79">
        <f t="shared" ref="Q28" si="38">P28/$P$4</f>
        <v>0.94006779878490188</v>
      </c>
      <c r="R28" s="74" t="s">
        <v>271</v>
      </c>
      <c r="S28" s="59" t="s">
        <v>272</v>
      </c>
      <c r="T28" s="76">
        <v>14.285714285714286</v>
      </c>
      <c r="U28" s="69">
        <f t="shared" ref="U28" si="39">T28/$T$4</f>
        <v>0.7142857142857143</v>
      </c>
      <c r="V28" s="70">
        <v>179785.26315789475</v>
      </c>
      <c r="W28" s="79">
        <f t="shared" ref="W28" si="40">V28/$V$4</f>
        <v>0.70912360129528929</v>
      </c>
      <c r="X28" s="71">
        <f t="shared" ref="X28" si="41">V28/7/T28</f>
        <v>1797.8526315789475</v>
      </c>
      <c r="Y28" s="79">
        <f t="shared" ref="Y28" si="42">X28/$X$4</f>
        <v>0.99277304181340487</v>
      </c>
    </row>
    <row r="29" spans="2:25" ht="15" x14ac:dyDescent="0.5">
      <c r="B29" s="74" t="s">
        <v>250</v>
      </c>
      <c r="C29" s="59" t="s">
        <v>251</v>
      </c>
      <c r="D29" s="75">
        <v>696.42857140000001</v>
      </c>
      <c r="E29" s="69">
        <f t="shared" ref="E29" si="43">D29/$D$4</f>
        <v>1.0898725687010955</v>
      </c>
      <c r="F29" s="70">
        <v>10771503.157894738</v>
      </c>
      <c r="G29" s="79">
        <f t="shared" ref="G29" si="44">F29/$F$4</f>
        <v>0.95696527923224717</v>
      </c>
      <c r="H29" s="71">
        <f t="shared" ref="H29" si="45">F29/7/D29</f>
        <v>2209.5391094023889</v>
      </c>
      <c r="I29" s="79">
        <f t="shared" ref="I29" si="46">H29/$H$4</f>
        <v>0.87805245008850319</v>
      </c>
      <c r="J29" s="74" t="s">
        <v>250</v>
      </c>
      <c r="K29" s="59" t="s">
        <v>251</v>
      </c>
      <c r="L29" s="75">
        <v>83.428571430000005</v>
      </c>
      <c r="M29" s="69">
        <f t="shared" ref="M29" si="47">L29/$L$4</f>
        <v>0.59591836735714288</v>
      </c>
      <c r="N29" s="70">
        <v>1377020.8421052631</v>
      </c>
      <c r="O29" s="79">
        <f t="shared" ref="O29" si="48">N29/$N$4</f>
        <v>0.68268585156267581</v>
      </c>
      <c r="P29" s="71">
        <f t="shared" ref="P29" si="49">N29/7/L29</f>
        <v>2357.9124008248014</v>
      </c>
      <c r="Q29" s="79">
        <f t="shared" ref="Q29" si="50">P29/$P$4</f>
        <v>1.1456029700684354</v>
      </c>
      <c r="R29" s="74" t="s">
        <v>250</v>
      </c>
      <c r="S29" s="59" t="s">
        <v>251</v>
      </c>
      <c r="T29" s="76">
        <v>15.85714286</v>
      </c>
      <c r="U29" s="69">
        <f t="shared" ref="U29" si="51">T29/$T$4</f>
        <v>0.79285714299999999</v>
      </c>
      <c r="V29" s="70">
        <v>148361.21052631584</v>
      </c>
      <c r="W29" s="79">
        <f t="shared" ref="W29" si="52">V29/$V$4</f>
        <v>0.5851783069035702</v>
      </c>
      <c r="X29" s="71">
        <f t="shared" ref="X29" si="53">V29/7/T29</f>
        <v>1336.587481978235</v>
      </c>
      <c r="Y29" s="79">
        <f t="shared" ref="Y29" si="54">X29/$X$4</f>
        <v>0.73806272929494199</v>
      </c>
    </row>
    <row r="30" spans="2:25" ht="15" x14ac:dyDescent="0.5">
      <c r="B30" s="74" t="s">
        <v>243</v>
      </c>
      <c r="C30" s="59" t="s">
        <v>244</v>
      </c>
      <c r="D30" s="75">
        <v>667.28571428571433</v>
      </c>
      <c r="E30" s="69">
        <f t="shared" ref="E30" si="55">D30/$D$4</f>
        <v>1.0442655935613683</v>
      </c>
      <c r="F30" s="70">
        <v>8449142</v>
      </c>
      <c r="G30" s="79">
        <f t="shared" ref="G30" si="56">F30/$F$4</f>
        <v>0.75064133712635928</v>
      </c>
      <c r="H30" s="71">
        <f t="shared" ref="H30" si="57">F30/7/D30</f>
        <v>1808.8507814172551</v>
      </c>
      <c r="I30" s="79">
        <f t="shared" ref="I30" si="58">H30/$H$4</f>
        <v>0.71882224383776594</v>
      </c>
      <c r="J30" s="74" t="s">
        <v>273</v>
      </c>
      <c r="K30" s="59" t="s">
        <v>274</v>
      </c>
      <c r="L30" s="75">
        <v>86.857142857142861</v>
      </c>
      <c r="M30" s="69">
        <f t="shared" ref="M30" si="59">L30/$L$4</f>
        <v>0.62040816326530612</v>
      </c>
      <c r="N30" s="70">
        <v>1111288.2</v>
      </c>
      <c r="O30" s="79">
        <f t="shared" ref="O30" si="60">N30/$N$4</f>
        <v>0.55094353545780173</v>
      </c>
      <c r="P30" s="71">
        <f t="shared" ref="P30" si="61">N30/7/L30</f>
        <v>1827.7766447368419</v>
      </c>
      <c r="Q30" s="79">
        <f t="shared" ref="Q30" si="62">P30/$P$4</f>
        <v>0.88803398807343048</v>
      </c>
      <c r="R30" s="74" t="s">
        <v>273</v>
      </c>
      <c r="S30" s="59" t="s">
        <v>274</v>
      </c>
      <c r="T30" s="76">
        <v>15.571428571428571</v>
      </c>
      <c r="U30" s="69">
        <f t="shared" ref="U30" si="63">T30/$T$4</f>
        <v>0.77857142857142858</v>
      </c>
      <c r="V30" s="70">
        <v>183165.32</v>
      </c>
      <c r="W30" s="79">
        <f t="shared" ref="W30" si="64">V30/$V$4</f>
        <v>0.72245549534686915</v>
      </c>
      <c r="X30" s="71">
        <f t="shared" ref="X30" si="65">V30/7/T30</f>
        <v>1680.415779816514</v>
      </c>
      <c r="Y30" s="79">
        <f t="shared" ref="Y30" si="66">X30/$X$4</f>
        <v>0.92792448943634576</v>
      </c>
    </row>
    <row r="31" spans="2:25" ht="15" x14ac:dyDescent="0.5">
      <c r="B31" s="74" t="s">
        <v>252</v>
      </c>
      <c r="C31" s="59" t="s">
        <v>253</v>
      </c>
      <c r="D31" s="75">
        <v>720.85714285714289</v>
      </c>
      <c r="E31" s="69">
        <f t="shared" ref="E31" si="67">D31/$D$4</f>
        <v>1.1281019450033536</v>
      </c>
      <c r="F31" s="70">
        <v>10738652.631578948</v>
      </c>
      <c r="G31" s="79">
        <f t="shared" ref="G31" si="68">F31/$F$4</f>
        <v>0.9540467624172867</v>
      </c>
      <c r="H31" s="71">
        <f t="shared" ref="H31" si="69">F31/7/D31</f>
        <v>2128.1515322193713</v>
      </c>
      <c r="I31" s="79">
        <f t="shared" ref="I31" si="70">H31/$H$4</f>
        <v>0.84570970437822512</v>
      </c>
      <c r="J31" s="74" t="s">
        <v>252</v>
      </c>
      <c r="K31" s="59" t="s">
        <v>253</v>
      </c>
      <c r="L31" s="75">
        <v>92.142857142857139</v>
      </c>
      <c r="M31" s="69">
        <f t="shared" ref="M31" si="71">L31/$L$4</f>
        <v>0.65816326530612246</v>
      </c>
      <c r="N31" s="70">
        <v>1287072.4210526317</v>
      </c>
      <c r="O31" s="79">
        <f t="shared" ref="O31" si="72">N31/$N$4</f>
        <v>0.63809210792031212</v>
      </c>
      <c r="P31" s="71">
        <f t="shared" ref="P31" si="73">N31/7/L31</f>
        <v>1995.4611179110568</v>
      </c>
      <c r="Q31" s="79">
        <f t="shared" ref="Q31" si="74">P31/$P$4</f>
        <v>0.96950428800295485</v>
      </c>
      <c r="R31" s="74" t="s">
        <v>252</v>
      </c>
      <c r="S31" s="59" t="s">
        <v>253</v>
      </c>
      <c r="T31" s="76">
        <v>17</v>
      </c>
      <c r="U31" s="69">
        <f t="shared" ref="U31" si="75">T31/$T$4</f>
        <v>0.85</v>
      </c>
      <c r="V31" s="70">
        <v>153855.78947368421</v>
      </c>
      <c r="W31" s="79">
        <f t="shared" ref="W31" si="76">V31/$V$4</f>
        <v>0.60685047036302586</v>
      </c>
      <c r="X31" s="71">
        <f t="shared" ref="X31" si="77">V31/7/T31</f>
        <v>1292.9057938965061</v>
      </c>
      <c r="Y31" s="79">
        <f t="shared" ref="Y31" si="78">X31/$X$4</f>
        <v>0.71394172983885396</v>
      </c>
    </row>
    <row r="32" spans="2:25" ht="15" x14ac:dyDescent="0.5">
      <c r="B32" s="74" t="s">
        <v>511</v>
      </c>
      <c r="C32" s="59" t="s">
        <v>513</v>
      </c>
      <c r="D32" s="75">
        <v>729</v>
      </c>
      <c r="E32" s="69">
        <f t="shared" ref="E32" si="79">D32/$D$4</f>
        <v>1.1408450704225352</v>
      </c>
      <c r="F32" s="70">
        <v>11466355.789473686</v>
      </c>
      <c r="G32" s="79">
        <f t="shared" ref="G32" si="80">F32/$F$4</f>
        <v>1.0186975957768374</v>
      </c>
      <c r="H32" s="71">
        <f t="shared" ref="H32" si="81">F32/7/D32</f>
        <v>2246.9833018760896</v>
      </c>
      <c r="I32" s="79">
        <f t="shared" ref="I32" si="82">H32/$H$4</f>
        <v>0.89293246049574637</v>
      </c>
      <c r="J32" s="74" t="s">
        <v>511</v>
      </c>
      <c r="K32" s="59" t="s">
        <v>513</v>
      </c>
      <c r="L32" s="75">
        <v>95.571428571428569</v>
      </c>
      <c r="M32" s="69">
        <f t="shared" ref="M32" si="83">L32/$L$4</f>
        <v>0.68265306122448977</v>
      </c>
      <c r="N32" s="70">
        <v>1526374.5263157894</v>
      </c>
      <c r="O32" s="79">
        <f t="shared" ref="O32" si="84">N32/$N$4</f>
        <v>0.75673095238584243</v>
      </c>
      <c r="P32" s="71">
        <f t="shared" ref="P32" si="85">N32/7/L32</f>
        <v>2281.5762725198647</v>
      </c>
      <c r="Q32" s="79">
        <f t="shared" ref="Q32" si="86">P32/$P$4</f>
        <v>1.1085146985622207</v>
      </c>
      <c r="R32" s="74" t="s">
        <v>511</v>
      </c>
      <c r="S32" s="59" t="s">
        <v>513</v>
      </c>
      <c r="T32" s="76">
        <v>19.571428571428573</v>
      </c>
      <c r="U32" s="69">
        <f t="shared" ref="U32" si="87">T32/$T$4</f>
        <v>0.97857142857142865</v>
      </c>
      <c r="V32" s="70">
        <v>187072.6315789473</v>
      </c>
      <c r="W32" s="79">
        <f t="shared" ref="W32" si="88">V32/$V$4</f>
        <v>0.73786703025010802</v>
      </c>
      <c r="X32" s="71">
        <f t="shared" ref="X32" si="89">V32/7/T32</f>
        <v>1365.4936611601993</v>
      </c>
      <c r="Y32" s="79">
        <f t="shared" ref="Y32" si="90">X32/$X$4</f>
        <v>0.75402470244536579</v>
      </c>
    </row>
    <row r="34" spans="2:25" s="77" customFormat="1" ht="16.95" customHeight="1" x14ac:dyDescent="0.5">
      <c r="B34" s="95" t="s">
        <v>275</v>
      </c>
    </row>
    <row r="35" spans="2:25" ht="15" x14ac:dyDescent="0.5">
      <c r="B35" s="143" t="s">
        <v>276</v>
      </c>
      <c r="C35" s="144"/>
      <c r="D35" s="59" t="s">
        <v>248</v>
      </c>
      <c r="E35" s="59" t="s">
        <v>212</v>
      </c>
      <c r="F35" s="59" t="s">
        <v>6</v>
      </c>
      <c r="G35" s="59" t="s">
        <v>212</v>
      </c>
      <c r="H35" s="59" t="s">
        <v>7</v>
      </c>
      <c r="I35" s="59" t="s">
        <v>212</v>
      </c>
      <c r="J35" s="143" t="s">
        <v>277</v>
      </c>
      <c r="K35" s="144"/>
      <c r="L35" s="59" t="s">
        <v>248</v>
      </c>
      <c r="M35" s="59" t="s">
        <v>212</v>
      </c>
      <c r="N35" s="59" t="s">
        <v>6</v>
      </c>
      <c r="O35" s="59" t="s">
        <v>212</v>
      </c>
      <c r="P35" s="59" t="s">
        <v>7</v>
      </c>
      <c r="Q35" s="59" t="s">
        <v>212</v>
      </c>
      <c r="R35" s="143" t="s">
        <v>278</v>
      </c>
      <c r="S35" s="144"/>
      <c r="T35" s="59" t="s">
        <v>248</v>
      </c>
      <c r="U35" s="59" t="s">
        <v>212</v>
      </c>
      <c r="V35" s="59"/>
      <c r="W35" s="59"/>
      <c r="X35" s="59"/>
      <c r="Y35" s="59"/>
    </row>
    <row r="36" spans="2:25" ht="16.2" thickBot="1" x14ac:dyDescent="0.6">
      <c r="B36" s="145" t="s">
        <v>213</v>
      </c>
      <c r="C36" s="146"/>
      <c r="D36" s="81">
        <v>414</v>
      </c>
      <c r="E36" s="82"/>
      <c r="F36" s="83">
        <v>3211748.7804111112</v>
      </c>
      <c r="G36" s="84"/>
      <c r="H36" s="85">
        <f>F36/7/D36</f>
        <v>1108.2638993827161</v>
      </c>
      <c r="I36" s="84"/>
      <c r="J36" s="145" t="s">
        <v>213</v>
      </c>
      <c r="K36" s="146"/>
      <c r="L36" s="86">
        <v>340</v>
      </c>
      <c r="M36" s="82"/>
      <c r="N36" s="62">
        <v>10314744.10606111</v>
      </c>
      <c r="O36" s="78"/>
      <c r="P36" s="63">
        <f>N36/L36/7</f>
        <v>4333.9260949836598</v>
      </c>
      <c r="Q36" s="78"/>
      <c r="R36" s="145" t="s">
        <v>213</v>
      </c>
      <c r="S36" s="146"/>
      <c r="T36" s="86">
        <f t="shared" ref="T36:T55" si="91">D4+L4+T4-D36-L36</f>
        <v>45</v>
      </c>
      <c r="U36" s="82"/>
      <c r="V36" s="65"/>
      <c r="W36" s="61"/>
      <c r="X36" s="63"/>
      <c r="Y36" s="61"/>
    </row>
    <row r="37" spans="2:25" ht="15.6" thickTop="1" x14ac:dyDescent="0.5">
      <c r="B37" s="66" t="s">
        <v>214</v>
      </c>
      <c r="C37" s="67" t="s">
        <v>21</v>
      </c>
      <c r="D37" s="68">
        <v>251.14285714285714</v>
      </c>
      <c r="E37" s="69">
        <f>D37/$D$36</f>
        <v>0.60662525879917184</v>
      </c>
      <c r="F37" s="70">
        <v>3167371</v>
      </c>
      <c r="G37" s="79">
        <f>F37/$F$36</f>
        <v>0.98618267384990466</v>
      </c>
      <c r="H37" s="71">
        <f>F37/7/D37</f>
        <v>1801.6899886234357</v>
      </c>
      <c r="I37" s="79">
        <f>H37/$H$36</f>
        <v>1.6256867968242457</v>
      </c>
      <c r="J37" s="66" t="s">
        <v>214</v>
      </c>
      <c r="K37" s="67" t="s">
        <v>21</v>
      </c>
      <c r="L37" s="72">
        <v>251.14285714285714</v>
      </c>
      <c r="M37" s="69">
        <f>L37/$L$36</f>
        <v>0.73865546218487399</v>
      </c>
      <c r="N37" s="70">
        <v>7194060</v>
      </c>
      <c r="O37" s="79">
        <f>N37/$N$36</f>
        <v>0.69745404500850916</v>
      </c>
      <c r="P37" s="71">
        <f>N37/7/L37</f>
        <v>4092.1843003412969</v>
      </c>
      <c r="Q37" s="79">
        <f>P37/$P$36</f>
        <v>0.94422106207067791</v>
      </c>
      <c r="R37" s="66" t="s">
        <v>214</v>
      </c>
      <c r="S37" s="67" t="s">
        <v>21</v>
      </c>
      <c r="T37" s="72">
        <f t="shared" si="91"/>
        <v>36.857142857142861</v>
      </c>
      <c r="U37" s="69">
        <f>T37/$T$36</f>
        <v>0.81904761904761914</v>
      </c>
      <c r="V37" s="73"/>
      <c r="W37" s="69"/>
      <c r="X37" s="71"/>
      <c r="Y37" s="69"/>
    </row>
    <row r="38" spans="2:25" ht="15" x14ac:dyDescent="0.5">
      <c r="B38" s="74" t="s">
        <v>215</v>
      </c>
      <c r="C38" s="59" t="s">
        <v>30</v>
      </c>
      <c r="D38" s="75">
        <v>192.71428571428572</v>
      </c>
      <c r="E38" s="69">
        <f t="shared" ref="E38:E57" si="92">D38/$D$36</f>
        <v>0.46549344375431334</v>
      </c>
      <c r="F38" s="70">
        <v>2335447.5263157892</v>
      </c>
      <c r="G38" s="79">
        <f t="shared" ref="G38:G57" si="93">F38/$F$36</f>
        <v>0.72715759730648877</v>
      </c>
      <c r="H38" s="71">
        <f t="shared" ref="H38:H52" si="94">F38/7/D38</f>
        <v>1731.2435332214891</v>
      </c>
      <c r="I38" s="79">
        <f t="shared" ref="I38:I57" si="95">H38/$H$36</f>
        <v>1.5621221030349919</v>
      </c>
      <c r="J38" s="74" t="s">
        <v>215</v>
      </c>
      <c r="K38" s="59" t="s">
        <v>30</v>
      </c>
      <c r="L38" s="76">
        <v>281.57142857142856</v>
      </c>
      <c r="M38" s="69">
        <f t="shared" ref="M38:M57" si="96">L38/$L$36</f>
        <v>0.82815126050420163</v>
      </c>
      <c r="N38" s="70">
        <v>5793109.1578947371</v>
      </c>
      <c r="O38" s="79">
        <f t="shared" ref="O38:O57" si="97">N38/$N$36</f>
        <v>0.56163382225746272</v>
      </c>
      <c r="P38" s="71">
        <f t="shared" ref="P38:P52" si="98">N38/7/L38</f>
        <v>2939.1725813773401</v>
      </c>
      <c r="Q38" s="79">
        <f t="shared" ref="Q38:Q57" si="99">P38/$P$36</f>
        <v>0.67817782697755524</v>
      </c>
      <c r="R38" s="74" t="s">
        <v>215</v>
      </c>
      <c r="S38" s="59" t="s">
        <v>30</v>
      </c>
      <c r="T38" s="72">
        <f t="shared" si="91"/>
        <v>46.428571428571502</v>
      </c>
      <c r="U38" s="69">
        <f t="shared" ref="U38:U57" si="100">T38/$T$36</f>
        <v>1.0317460317460334</v>
      </c>
      <c r="V38" s="73"/>
      <c r="W38" s="69"/>
      <c r="X38" s="71"/>
      <c r="Y38" s="69"/>
    </row>
    <row r="39" spans="2:25" ht="15" x14ac:dyDescent="0.5">
      <c r="B39" s="74" t="s">
        <v>216</v>
      </c>
      <c r="C39" s="59" t="s">
        <v>39</v>
      </c>
      <c r="D39" s="75">
        <v>267.42857142857144</v>
      </c>
      <c r="E39" s="69">
        <f t="shared" si="92"/>
        <v>0.64596273291925466</v>
      </c>
      <c r="F39" s="70">
        <v>3679268.2105263155</v>
      </c>
      <c r="G39" s="79">
        <f t="shared" si="93"/>
        <v>1.1455653795112084</v>
      </c>
      <c r="H39" s="71">
        <f t="shared" si="94"/>
        <v>1965.4210526315787</v>
      </c>
      <c r="I39" s="79">
        <f t="shared" si="95"/>
        <v>1.7734233278971592</v>
      </c>
      <c r="J39" s="74" t="s">
        <v>216</v>
      </c>
      <c r="K39" s="59" t="s">
        <v>39</v>
      </c>
      <c r="L39" s="76">
        <v>264.57142857142856</v>
      </c>
      <c r="M39" s="69">
        <f t="shared" si="96"/>
        <v>0.77815126050420158</v>
      </c>
      <c r="N39" s="70">
        <v>4813757.8947368432</v>
      </c>
      <c r="O39" s="79">
        <f t="shared" si="97"/>
        <v>0.46668708842793311</v>
      </c>
      <c r="P39" s="71">
        <f t="shared" si="98"/>
        <v>2599.2213254518592</v>
      </c>
      <c r="Q39" s="79">
        <f t="shared" si="99"/>
        <v>0.59973826698622079</v>
      </c>
      <c r="R39" s="74" t="s">
        <v>216</v>
      </c>
      <c r="S39" s="59" t="s">
        <v>39</v>
      </c>
      <c r="T39" s="72">
        <f t="shared" si="91"/>
        <v>56.285714285714221</v>
      </c>
      <c r="U39" s="69">
        <f t="shared" si="100"/>
        <v>1.2507936507936495</v>
      </c>
      <c r="V39" s="73"/>
      <c r="W39" s="69"/>
      <c r="X39" s="71"/>
      <c r="Y39" s="69"/>
    </row>
    <row r="40" spans="2:25" ht="15" x14ac:dyDescent="0.5">
      <c r="B40" s="74" t="s">
        <v>217</v>
      </c>
      <c r="C40" s="59" t="s">
        <v>48</v>
      </c>
      <c r="D40" s="75">
        <v>351.57142857142856</v>
      </c>
      <c r="E40" s="69">
        <f t="shared" si="92"/>
        <v>0.84920634920634919</v>
      </c>
      <c r="F40" s="70">
        <v>5983392.7789473683</v>
      </c>
      <c r="G40" s="79">
        <f t="shared" si="93"/>
        <v>1.862970359151652</v>
      </c>
      <c r="H40" s="71">
        <f t="shared" si="94"/>
        <v>2431.2851600761351</v>
      </c>
      <c r="I40" s="79">
        <f t="shared" si="95"/>
        <v>2.1937781799355904</v>
      </c>
      <c r="J40" s="74" t="s">
        <v>217</v>
      </c>
      <c r="K40" s="59" t="s">
        <v>48</v>
      </c>
      <c r="L40" s="76">
        <v>269.85714285714283</v>
      </c>
      <c r="M40" s="69">
        <f t="shared" si="96"/>
        <v>0.79369747899159659</v>
      </c>
      <c r="N40" s="70">
        <v>5622106.3684210526</v>
      </c>
      <c r="O40" s="79">
        <f t="shared" si="97"/>
        <v>0.54505534122920341</v>
      </c>
      <c r="P40" s="71">
        <f t="shared" si="98"/>
        <v>2976.2341812710711</v>
      </c>
      <c r="Q40" s="79">
        <f t="shared" si="99"/>
        <v>0.68672933410561365</v>
      </c>
      <c r="R40" s="74" t="s">
        <v>217</v>
      </c>
      <c r="S40" s="59" t="s">
        <v>48</v>
      </c>
      <c r="T40" s="72">
        <f t="shared" si="91"/>
        <v>53.714285714285836</v>
      </c>
      <c r="U40" s="69">
        <f t="shared" si="100"/>
        <v>1.1936507936507963</v>
      </c>
      <c r="V40" s="73"/>
      <c r="W40" s="69"/>
      <c r="X40" s="71"/>
      <c r="Y40" s="69"/>
    </row>
    <row r="41" spans="2:25" ht="15" x14ac:dyDescent="0.5">
      <c r="B41" s="74" t="s">
        <v>218</v>
      </c>
      <c r="C41" s="59" t="s">
        <v>57</v>
      </c>
      <c r="D41" s="75">
        <v>346.42857142857144</v>
      </c>
      <c r="E41" s="69">
        <f t="shared" si="92"/>
        <v>0.83678398895790207</v>
      </c>
      <c r="F41" s="70">
        <v>5488250.5578947375</v>
      </c>
      <c r="G41" s="79">
        <f t="shared" si="93"/>
        <v>1.7088044343219861</v>
      </c>
      <c r="H41" s="71">
        <f t="shared" si="94"/>
        <v>2263.1961063483454</v>
      </c>
      <c r="I41" s="79">
        <f t="shared" si="95"/>
        <v>2.0421093817175735</v>
      </c>
      <c r="J41" s="74" t="s">
        <v>218</v>
      </c>
      <c r="K41" s="59" t="s">
        <v>57</v>
      </c>
      <c r="L41" s="76">
        <v>315.28571428571428</v>
      </c>
      <c r="M41" s="69">
        <f t="shared" si="96"/>
        <v>0.92731092436974782</v>
      </c>
      <c r="N41" s="70">
        <v>4682229.694736843</v>
      </c>
      <c r="O41" s="79">
        <f t="shared" si="97"/>
        <v>0.45393561358303491</v>
      </c>
      <c r="P41" s="71">
        <f t="shared" si="98"/>
        <v>2121.5358834330964</v>
      </c>
      <c r="Q41" s="79">
        <f t="shared" si="99"/>
        <v>0.48951824210585559</v>
      </c>
      <c r="R41" s="74" t="s">
        <v>218</v>
      </c>
      <c r="S41" s="59" t="s">
        <v>57</v>
      </c>
      <c r="T41" s="72">
        <f t="shared" si="91"/>
        <v>54.142857142857054</v>
      </c>
      <c r="U41" s="69">
        <f t="shared" si="100"/>
        <v>1.2031746031746011</v>
      </c>
      <c r="V41" s="73"/>
      <c r="W41" s="69"/>
      <c r="X41" s="71"/>
      <c r="Y41" s="69"/>
    </row>
    <row r="42" spans="2:25" ht="15" x14ac:dyDescent="0.5">
      <c r="B42" s="74" t="s">
        <v>219</v>
      </c>
      <c r="C42" s="59" t="s">
        <v>66</v>
      </c>
      <c r="D42" s="75">
        <v>346.57142857142856</v>
      </c>
      <c r="E42" s="69">
        <f t="shared" si="92"/>
        <v>0.8371290545203588</v>
      </c>
      <c r="F42" s="70">
        <v>5383482.4000000004</v>
      </c>
      <c r="G42" s="79">
        <f t="shared" si="93"/>
        <v>1.6761841501535193</v>
      </c>
      <c r="H42" s="71">
        <f t="shared" si="94"/>
        <v>2219.0776586974448</v>
      </c>
      <c r="I42" s="79">
        <f t="shared" si="95"/>
        <v>2.0023007696392825</v>
      </c>
      <c r="J42" s="74" t="s">
        <v>219</v>
      </c>
      <c r="K42" s="59" t="s">
        <v>66</v>
      </c>
      <c r="L42" s="76">
        <v>310.28571428571428</v>
      </c>
      <c r="M42" s="69">
        <f t="shared" si="96"/>
        <v>0.9126050420168067</v>
      </c>
      <c r="N42" s="70">
        <v>4809663.2736842101</v>
      </c>
      <c r="O42" s="79">
        <f t="shared" si="97"/>
        <v>0.4662901206495248</v>
      </c>
      <c r="P42" s="71">
        <f t="shared" si="98"/>
        <v>2214.3937724144616</v>
      </c>
      <c r="Q42" s="79">
        <f t="shared" si="99"/>
        <v>0.51094405485537253</v>
      </c>
      <c r="R42" s="74" t="s">
        <v>219</v>
      </c>
      <c r="S42" s="59" t="s">
        <v>66</v>
      </c>
      <c r="T42" s="72">
        <f t="shared" si="91"/>
        <v>56.714285714285836</v>
      </c>
      <c r="U42" s="69">
        <f t="shared" si="100"/>
        <v>1.2603174603174629</v>
      </c>
      <c r="V42" s="73"/>
      <c r="W42" s="69"/>
      <c r="X42" s="71"/>
      <c r="Y42" s="69"/>
    </row>
    <row r="43" spans="2:25" ht="15" x14ac:dyDescent="0.5">
      <c r="B43" s="74" t="s">
        <v>220</v>
      </c>
      <c r="C43" s="59" t="s">
        <v>75</v>
      </c>
      <c r="D43" s="75">
        <v>362.71428571428572</v>
      </c>
      <c r="E43" s="69">
        <f t="shared" si="92"/>
        <v>0.87612146307798489</v>
      </c>
      <c r="F43" s="70">
        <v>5359302.1578947362</v>
      </c>
      <c r="G43" s="79">
        <f t="shared" si="93"/>
        <v>1.6686554660133577</v>
      </c>
      <c r="H43" s="71">
        <f t="shared" si="94"/>
        <v>2110.792500155469</v>
      </c>
      <c r="I43" s="79">
        <f t="shared" si="95"/>
        <v>1.9045937536458095</v>
      </c>
      <c r="J43" s="74" t="s">
        <v>220</v>
      </c>
      <c r="K43" s="59" t="s">
        <v>75</v>
      </c>
      <c r="L43" s="76">
        <v>266.85714285714283</v>
      </c>
      <c r="M43" s="69">
        <f t="shared" si="96"/>
        <v>0.78487394957983181</v>
      </c>
      <c r="N43" s="70">
        <v>6721639.1684210533</v>
      </c>
      <c r="O43" s="79">
        <f t="shared" si="97"/>
        <v>0.65165350679628686</v>
      </c>
      <c r="P43" s="71">
        <f t="shared" si="98"/>
        <v>3598.3079060069881</v>
      </c>
      <c r="Q43" s="79">
        <f t="shared" si="99"/>
        <v>0.83026517461197147</v>
      </c>
      <c r="R43" s="74" t="s">
        <v>220</v>
      </c>
      <c r="S43" s="59" t="s">
        <v>75</v>
      </c>
      <c r="T43" s="72">
        <f t="shared" si="91"/>
        <v>54.14285714285711</v>
      </c>
      <c r="U43" s="69">
        <f t="shared" si="100"/>
        <v>1.2031746031746025</v>
      </c>
      <c r="V43" s="73"/>
      <c r="W43" s="69"/>
      <c r="X43" s="71"/>
      <c r="Y43" s="69"/>
    </row>
    <row r="44" spans="2:25" ht="15" x14ac:dyDescent="0.5">
      <c r="B44" s="74" t="s">
        <v>221</v>
      </c>
      <c r="C44" s="59" t="s">
        <v>84</v>
      </c>
      <c r="D44" s="75">
        <v>335.28571428571428</v>
      </c>
      <c r="E44" s="69">
        <f t="shared" si="92"/>
        <v>0.80986887508626637</v>
      </c>
      <c r="F44" s="70">
        <v>5427297.4947368428</v>
      </c>
      <c r="G44" s="79">
        <f t="shared" si="93"/>
        <v>1.6898262802616013</v>
      </c>
      <c r="H44" s="71">
        <f t="shared" si="94"/>
        <v>2312.4403471396859</v>
      </c>
      <c r="I44" s="79">
        <f t="shared" si="95"/>
        <v>2.0865430593089562</v>
      </c>
      <c r="J44" s="74" t="s">
        <v>221</v>
      </c>
      <c r="K44" s="59" t="s">
        <v>84</v>
      </c>
      <c r="L44" s="76">
        <v>218.85714285714286</v>
      </c>
      <c r="M44" s="69">
        <f t="shared" si="96"/>
        <v>0.64369747899159668</v>
      </c>
      <c r="N44" s="70">
        <v>7009777.5894736843</v>
      </c>
      <c r="O44" s="79">
        <f t="shared" si="97"/>
        <v>0.67958812331123419</v>
      </c>
      <c r="P44" s="71">
        <f t="shared" si="98"/>
        <v>4575.5728390820395</v>
      </c>
      <c r="Q44" s="79">
        <f t="shared" si="99"/>
        <v>1.0557570061884709</v>
      </c>
      <c r="R44" s="74" t="s">
        <v>221</v>
      </c>
      <c r="S44" s="59" t="s">
        <v>84</v>
      </c>
      <c r="T44" s="72">
        <f t="shared" si="91"/>
        <v>52.285714285714306</v>
      </c>
      <c r="U44" s="69">
        <f t="shared" si="100"/>
        <v>1.1619047619047624</v>
      </c>
      <c r="V44" s="73"/>
      <c r="W44" s="69"/>
      <c r="X44" s="71"/>
      <c r="Y44" s="69"/>
    </row>
    <row r="45" spans="2:25" ht="15" x14ac:dyDescent="0.5">
      <c r="B45" s="74" t="s">
        <v>222</v>
      </c>
      <c r="C45" s="59" t="s">
        <v>93</v>
      </c>
      <c r="D45" s="75">
        <v>377.57142857142856</v>
      </c>
      <c r="E45" s="69">
        <f t="shared" si="92"/>
        <v>0.91200828157349889</v>
      </c>
      <c r="F45" s="70">
        <v>4989920.1263157893</v>
      </c>
      <c r="G45" s="79">
        <f t="shared" si="93"/>
        <v>1.5536458382890919</v>
      </c>
      <c r="H45" s="71">
        <f t="shared" si="94"/>
        <v>1887.9758328852779</v>
      </c>
      <c r="I45" s="79">
        <f t="shared" si="95"/>
        <v>1.7035435638901961</v>
      </c>
      <c r="J45" s="74" t="s">
        <v>222</v>
      </c>
      <c r="K45" s="59" t="s">
        <v>93</v>
      </c>
      <c r="L45" s="76">
        <v>181.28571428571428</v>
      </c>
      <c r="M45" s="69">
        <f t="shared" si="96"/>
        <v>0.53319327731092436</v>
      </c>
      <c r="N45" s="70">
        <v>5045724.7684210539</v>
      </c>
      <c r="O45" s="79">
        <f t="shared" si="97"/>
        <v>0.48917595206807934</v>
      </c>
      <c r="P45" s="71">
        <f t="shared" si="98"/>
        <v>3976.1424495043766</v>
      </c>
      <c r="Q45" s="79">
        <f t="shared" si="99"/>
        <v>0.91744583602996765</v>
      </c>
      <c r="R45" s="74" t="s">
        <v>222</v>
      </c>
      <c r="S45" s="59" t="s">
        <v>93</v>
      </c>
      <c r="T45" s="72">
        <f t="shared" si="91"/>
        <v>53.428571428571502</v>
      </c>
      <c r="U45" s="69">
        <f t="shared" si="100"/>
        <v>1.1873015873015889</v>
      </c>
      <c r="V45" s="73"/>
      <c r="W45" s="69"/>
      <c r="X45" s="71"/>
      <c r="Y45" s="69"/>
    </row>
    <row r="46" spans="2:25" ht="15" x14ac:dyDescent="0.5">
      <c r="B46" s="74" t="s">
        <v>223</v>
      </c>
      <c r="C46" s="59" t="s">
        <v>102</v>
      </c>
      <c r="D46" s="75">
        <v>409</v>
      </c>
      <c r="E46" s="69">
        <f t="shared" si="92"/>
        <v>0.98792270531400961</v>
      </c>
      <c r="F46" s="70">
        <v>7854084.7157894755</v>
      </c>
      <c r="G46" s="79">
        <f t="shared" si="93"/>
        <v>2.4454231176773842</v>
      </c>
      <c r="H46" s="71">
        <f t="shared" si="94"/>
        <v>2743.3058734856709</v>
      </c>
      <c r="I46" s="79">
        <f t="shared" si="95"/>
        <v>2.4753182658152495</v>
      </c>
      <c r="J46" s="74" t="s">
        <v>223</v>
      </c>
      <c r="K46" s="59" t="s">
        <v>102</v>
      </c>
      <c r="L46" s="76">
        <v>184.14285714285714</v>
      </c>
      <c r="M46" s="69">
        <f t="shared" si="96"/>
        <v>0.54159663865546215</v>
      </c>
      <c r="N46" s="70">
        <v>6906631.8631578954</v>
      </c>
      <c r="O46" s="79">
        <f t="shared" si="97"/>
        <v>0.66958828955334404</v>
      </c>
      <c r="P46" s="71">
        <f t="shared" si="98"/>
        <v>5358.131779020865</v>
      </c>
      <c r="Q46" s="79">
        <f t="shared" si="99"/>
        <v>1.2363228309829004</v>
      </c>
      <c r="R46" s="74" t="s">
        <v>223</v>
      </c>
      <c r="S46" s="59" t="s">
        <v>102</v>
      </c>
      <c r="T46" s="72">
        <f t="shared" si="91"/>
        <v>54.857142857142861</v>
      </c>
      <c r="U46" s="69">
        <f t="shared" si="100"/>
        <v>1.2190476190476192</v>
      </c>
      <c r="V46" s="73"/>
      <c r="W46" s="69"/>
      <c r="X46" s="71"/>
      <c r="Y46" s="69"/>
    </row>
    <row r="47" spans="2:25" ht="15" x14ac:dyDescent="0.5">
      <c r="B47" s="74" t="s">
        <v>224</v>
      </c>
      <c r="C47" s="59" t="s">
        <v>127</v>
      </c>
      <c r="D47" s="75">
        <v>334.14285714285717</v>
      </c>
      <c r="E47" s="69">
        <f t="shared" si="92"/>
        <v>0.80710835058661157</v>
      </c>
      <c r="F47" s="70">
        <v>6677807.3263157904</v>
      </c>
      <c r="G47" s="79">
        <f t="shared" si="93"/>
        <v>2.079181088833796</v>
      </c>
      <c r="H47" s="71">
        <f t="shared" si="94"/>
        <v>2854.9838932517273</v>
      </c>
      <c r="I47" s="79">
        <f t="shared" si="95"/>
        <v>2.5760867017701328</v>
      </c>
      <c r="J47" s="74" t="s">
        <v>224</v>
      </c>
      <c r="K47" s="59" t="s">
        <v>127</v>
      </c>
      <c r="L47" s="76">
        <v>277.14285714285717</v>
      </c>
      <c r="M47" s="69">
        <f t="shared" si="96"/>
        <v>0.81512605042016817</v>
      </c>
      <c r="N47" s="70">
        <v>5737915.6315789474</v>
      </c>
      <c r="O47" s="79">
        <f t="shared" si="97"/>
        <v>0.55628288715444285</v>
      </c>
      <c r="P47" s="71">
        <f t="shared" si="98"/>
        <v>2957.6884698860554</v>
      </c>
      <c r="Q47" s="79">
        <f t="shared" si="99"/>
        <v>0.68245013991112069</v>
      </c>
      <c r="R47" s="74" t="s">
        <v>224</v>
      </c>
      <c r="S47" s="59" t="s">
        <v>127</v>
      </c>
      <c r="T47" s="72">
        <f t="shared" si="91"/>
        <v>53.571428571428442</v>
      </c>
      <c r="U47" s="69">
        <f t="shared" si="100"/>
        <v>1.1904761904761876</v>
      </c>
      <c r="V47" s="73"/>
      <c r="W47" s="69"/>
      <c r="X47" s="71"/>
      <c r="Y47" s="69"/>
    </row>
    <row r="48" spans="2:25" ht="15" x14ac:dyDescent="0.5">
      <c r="B48" s="74" t="s">
        <v>225</v>
      </c>
      <c r="C48" s="59" t="s">
        <v>136</v>
      </c>
      <c r="D48" s="75">
        <v>369.42857142857144</v>
      </c>
      <c r="E48" s="69">
        <f t="shared" si="92"/>
        <v>0.89233954451345765</v>
      </c>
      <c r="F48" s="70">
        <v>5115820.042105264</v>
      </c>
      <c r="G48" s="79">
        <f t="shared" si="93"/>
        <v>1.5928456401407669</v>
      </c>
      <c r="H48" s="71">
        <f t="shared" si="94"/>
        <v>1978.2753449749666</v>
      </c>
      <c r="I48" s="79">
        <f t="shared" si="95"/>
        <v>1.7850219122691193</v>
      </c>
      <c r="J48" s="74" t="s">
        <v>225</v>
      </c>
      <c r="K48" s="59" t="s">
        <v>136</v>
      </c>
      <c r="L48" s="76">
        <v>226</v>
      </c>
      <c r="M48" s="69">
        <f t="shared" si="96"/>
        <v>0.66470588235294115</v>
      </c>
      <c r="N48" s="70">
        <v>4483605.0105263162</v>
      </c>
      <c r="O48" s="79">
        <f t="shared" si="97"/>
        <v>0.43467922853187191</v>
      </c>
      <c r="P48" s="71">
        <f t="shared" si="98"/>
        <v>2834.1371747953958</v>
      </c>
      <c r="Q48" s="79">
        <f t="shared" si="99"/>
        <v>0.65394220221609045</v>
      </c>
      <c r="R48" s="74" t="s">
        <v>225</v>
      </c>
      <c r="S48" s="59" t="s">
        <v>136</v>
      </c>
      <c r="T48" s="72">
        <f t="shared" si="91"/>
        <v>62.428571428571445</v>
      </c>
      <c r="U48" s="69">
        <f t="shared" si="100"/>
        <v>1.3873015873015877</v>
      </c>
      <c r="V48" s="73"/>
      <c r="W48" s="69"/>
      <c r="X48" s="71"/>
      <c r="Y48" s="69"/>
    </row>
    <row r="49" spans="2:25" ht="15" x14ac:dyDescent="0.5">
      <c r="B49" s="74" t="s">
        <v>226</v>
      </c>
      <c r="C49" s="59" t="s">
        <v>145</v>
      </c>
      <c r="D49" s="75">
        <v>387.42857142857144</v>
      </c>
      <c r="E49" s="69">
        <f t="shared" si="92"/>
        <v>0.93581780538302284</v>
      </c>
      <c r="F49" s="70">
        <v>4509959.5894736843</v>
      </c>
      <c r="G49" s="79">
        <f t="shared" si="93"/>
        <v>1.404206834912038</v>
      </c>
      <c r="H49" s="71">
        <f t="shared" si="94"/>
        <v>1662.9644503959012</v>
      </c>
      <c r="I49" s="79">
        <f t="shared" si="95"/>
        <v>1.5005130558905182</v>
      </c>
      <c r="J49" s="74" t="s">
        <v>226</v>
      </c>
      <c r="K49" s="59" t="s">
        <v>145</v>
      </c>
      <c r="L49" s="76">
        <v>251.14285714285714</v>
      </c>
      <c r="M49" s="69">
        <f t="shared" si="96"/>
        <v>0.73865546218487399</v>
      </c>
      <c r="N49" s="70">
        <v>6796558.1789473696</v>
      </c>
      <c r="O49" s="79">
        <f t="shared" si="97"/>
        <v>0.65891679997699626</v>
      </c>
      <c r="P49" s="71">
        <f t="shared" si="98"/>
        <v>3866.0740494581169</v>
      </c>
      <c r="Q49" s="79">
        <f t="shared" si="99"/>
        <v>0.89204891009399945</v>
      </c>
      <c r="R49" s="74" t="s">
        <v>226</v>
      </c>
      <c r="S49" s="59" t="s">
        <v>145</v>
      </c>
      <c r="T49" s="72">
        <f t="shared" si="91"/>
        <v>57.999999999999972</v>
      </c>
      <c r="U49" s="69">
        <f t="shared" si="100"/>
        <v>1.2888888888888883</v>
      </c>
      <c r="V49" s="73"/>
      <c r="W49" s="69"/>
      <c r="X49" s="71"/>
      <c r="Y49" s="69"/>
    </row>
    <row r="50" spans="2:25" ht="15" x14ac:dyDescent="0.5">
      <c r="B50" s="74" t="s">
        <v>227</v>
      </c>
      <c r="C50" s="59" t="s">
        <v>154</v>
      </c>
      <c r="D50" s="75">
        <v>414.57142857142856</v>
      </c>
      <c r="E50" s="69">
        <f t="shared" si="92"/>
        <v>1.0013802622498273</v>
      </c>
      <c r="F50" s="70">
        <v>4973250.924210527</v>
      </c>
      <c r="G50" s="79">
        <f t="shared" si="93"/>
        <v>1.5484557679427029</v>
      </c>
      <c r="H50" s="71">
        <f t="shared" si="94"/>
        <v>1713.7322275019046</v>
      </c>
      <c r="I50" s="79">
        <f t="shared" si="95"/>
        <v>1.5463214388345807</v>
      </c>
      <c r="J50" s="74" t="s">
        <v>227</v>
      </c>
      <c r="K50" s="59" t="s">
        <v>154</v>
      </c>
      <c r="L50" s="76">
        <v>241.85714285714286</v>
      </c>
      <c r="M50" s="69">
        <f t="shared" si="96"/>
        <v>0.71134453781512608</v>
      </c>
      <c r="N50" s="70">
        <v>5949550.1115789469</v>
      </c>
      <c r="O50" s="79">
        <f t="shared" si="97"/>
        <v>0.57680055369312511</v>
      </c>
      <c r="P50" s="71">
        <f t="shared" si="98"/>
        <v>3514.2056181801222</v>
      </c>
      <c r="Q50" s="79">
        <f t="shared" si="99"/>
        <v>0.81085960885389108</v>
      </c>
      <c r="R50" s="74" t="s">
        <v>227</v>
      </c>
      <c r="S50" s="59" t="s">
        <v>154</v>
      </c>
      <c r="T50" s="72">
        <f t="shared" si="91"/>
        <v>70.142857142857139</v>
      </c>
      <c r="U50" s="69">
        <f t="shared" si="100"/>
        <v>1.5587301587301587</v>
      </c>
      <c r="V50" s="73"/>
      <c r="W50" s="69"/>
      <c r="X50" s="71"/>
      <c r="Y50" s="69"/>
    </row>
    <row r="51" spans="2:25" ht="15" x14ac:dyDescent="0.5">
      <c r="B51" s="74" t="s">
        <v>228</v>
      </c>
      <c r="C51" s="59" t="s">
        <v>163</v>
      </c>
      <c r="D51" s="75">
        <v>453.71428571428572</v>
      </c>
      <c r="E51" s="69">
        <f t="shared" si="92"/>
        <v>1.095928226363009</v>
      </c>
      <c r="F51" s="70">
        <v>5517243.689473683</v>
      </c>
      <c r="G51" s="79">
        <f t="shared" si="93"/>
        <v>1.7178316445931563</v>
      </c>
      <c r="H51" s="71">
        <f t="shared" si="94"/>
        <v>1737.1674085244592</v>
      </c>
      <c r="I51" s="79">
        <f t="shared" si="95"/>
        <v>1.5674672877931255</v>
      </c>
      <c r="J51" s="74" t="s">
        <v>228</v>
      </c>
      <c r="K51" s="59" t="s">
        <v>163</v>
      </c>
      <c r="L51" s="76">
        <v>233.42857142857142</v>
      </c>
      <c r="M51" s="69">
        <f t="shared" si="96"/>
        <v>0.6865546218487395</v>
      </c>
      <c r="N51" s="70">
        <v>6017529.0431578942</v>
      </c>
      <c r="O51" s="79">
        <f t="shared" si="97"/>
        <v>0.58339101593629428</v>
      </c>
      <c r="P51" s="71">
        <f t="shared" si="98"/>
        <v>3682.6983128261286</v>
      </c>
      <c r="Q51" s="79">
        <f t="shared" si="99"/>
        <v>0.84973722027440646</v>
      </c>
      <c r="R51" s="74" t="s">
        <v>228</v>
      </c>
      <c r="S51" s="59" t="s">
        <v>163</v>
      </c>
      <c r="T51" s="72">
        <f t="shared" si="91"/>
        <v>66.142857142857196</v>
      </c>
      <c r="U51" s="69">
        <f t="shared" si="100"/>
        <v>1.4698412698412711</v>
      </c>
      <c r="V51" s="73"/>
      <c r="W51" s="69"/>
      <c r="X51" s="71"/>
      <c r="Y51" s="69"/>
    </row>
    <row r="52" spans="2:25" ht="15" x14ac:dyDescent="0.5">
      <c r="B52" s="74" t="s">
        <v>229</v>
      </c>
      <c r="C52" s="59" t="s">
        <v>172</v>
      </c>
      <c r="D52" s="75">
        <v>452.71428571428572</v>
      </c>
      <c r="E52" s="69">
        <f t="shared" si="92"/>
        <v>1.0935127674258109</v>
      </c>
      <c r="F52" s="70">
        <v>6043354.5263157897</v>
      </c>
      <c r="G52" s="79">
        <f t="shared" si="93"/>
        <v>1.8816398602453042</v>
      </c>
      <c r="H52" s="71">
        <f t="shared" si="94"/>
        <v>1907.0225706266297</v>
      </c>
      <c r="I52" s="79">
        <f t="shared" si="95"/>
        <v>1.7207296670845349</v>
      </c>
      <c r="J52" s="74" t="s">
        <v>229</v>
      </c>
      <c r="K52" s="59" t="s">
        <v>172</v>
      </c>
      <c r="L52" s="76">
        <v>253.71428571428572</v>
      </c>
      <c r="M52" s="69">
        <f t="shared" si="96"/>
        <v>0.746218487394958</v>
      </c>
      <c r="N52" s="70">
        <v>6312410.5263157897</v>
      </c>
      <c r="O52" s="79">
        <f t="shared" si="97"/>
        <v>0.6119793628817719</v>
      </c>
      <c r="P52" s="71">
        <f t="shared" si="98"/>
        <v>3554.2852062588904</v>
      </c>
      <c r="Q52" s="79">
        <f t="shared" si="99"/>
        <v>0.82010747953750951</v>
      </c>
      <c r="R52" s="74" t="s">
        <v>229</v>
      </c>
      <c r="S52" s="59" t="s">
        <v>172</v>
      </c>
      <c r="T52" s="72">
        <f t="shared" si="91"/>
        <v>71.428571428571558</v>
      </c>
      <c r="U52" s="69">
        <f t="shared" si="100"/>
        <v>1.5873015873015901</v>
      </c>
      <c r="V52" s="73"/>
      <c r="W52" s="69"/>
      <c r="X52" s="71"/>
      <c r="Y52" s="69"/>
    </row>
    <row r="53" spans="2:25" ht="15" x14ac:dyDescent="0.5">
      <c r="B53" s="74" t="s">
        <v>230</v>
      </c>
      <c r="C53" s="59" t="s">
        <v>181</v>
      </c>
      <c r="D53" s="75">
        <v>487.57142857142856</v>
      </c>
      <c r="E53" s="69">
        <f t="shared" si="92"/>
        <v>1.1777087646652864</v>
      </c>
      <c r="F53" s="70">
        <v>6467125.0526315793</v>
      </c>
      <c r="G53" s="79">
        <f t="shared" si="93"/>
        <v>2.0135837186505516</v>
      </c>
      <c r="H53" s="71">
        <f>F53/D53/7</f>
        <v>1894.8505867657718</v>
      </c>
      <c r="I53" s="79">
        <f t="shared" si="95"/>
        <v>1.7097467379576028</v>
      </c>
      <c r="J53" s="74" t="s">
        <v>230</v>
      </c>
      <c r="K53" s="59" t="s">
        <v>181</v>
      </c>
      <c r="L53" s="76">
        <v>287.85714285714283</v>
      </c>
      <c r="M53" s="69">
        <f t="shared" si="96"/>
        <v>0.84663865546218475</v>
      </c>
      <c r="N53" s="70">
        <v>6553629.4736842113</v>
      </c>
      <c r="O53" s="79">
        <f t="shared" si="97"/>
        <v>0.63536520211230374</v>
      </c>
      <c r="P53" s="71">
        <f>N53/L53/7</f>
        <v>3252.4215750293852</v>
      </c>
      <c r="Q53" s="79">
        <f t="shared" si="99"/>
        <v>0.75045616924430913</v>
      </c>
      <c r="R53" s="74" t="s">
        <v>230</v>
      </c>
      <c r="S53" s="59" t="s">
        <v>181</v>
      </c>
      <c r="T53" s="72">
        <f t="shared" si="91"/>
        <v>75.285714285714278</v>
      </c>
      <c r="U53" s="69">
        <f t="shared" si="100"/>
        <v>1.6730158730158728</v>
      </c>
      <c r="V53" s="73"/>
      <c r="W53" s="69"/>
      <c r="X53" s="71"/>
      <c r="Y53" s="69"/>
    </row>
    <row r="54" spans="2:25" ht="15" x14ac:dyDescent="0.5">
      <c r="B54" s="74" t="s">
        <v>231</v>
      </c>
      <c r="C54" s="59" t="s">
        <v>198</v>
      </c>
      <c r="D54" s="75">
        <v>495</v>
      </c>
      <c r="E54" s="69">
        <f t="shared" si="92"/>
        <v>1.1956521739130435</v>
      </c>
      <c r="F54" s="70">
        <v>6759880.8421052638</v>
      </c>
      <c r="G54" s="79">
        <f t="shared" si="93"/>
        <v>2.1047352406062045</v>
      </c>
      <c r="H54" s="71">
        <f t="shared" ref="H54:H59" si="101">F54/7/D54</f>
        <v>1950.9035619351412</v>
      </c>
      <c r="I54" s="79">
        <f t="shared" si="95"/>
        <v>1.7603240194160983</v>
      </c>
      <c r="J54" s="74" t="s">
        <v>231</v>
      </c>
      <c r="K54" s="59" t="s">
        <v>198</v>
      </c>
      <c r="L54" s="76">
        <v>296</v>
      </c>
      <c r="M54" s="69">
        <f t="shared" si="96"/>
        <v>0.87058823529411766</v>
      </c>
      <c r="N54" s="70">
        <v>6558286.3157894742</v>
      </c>
      <c r="O54" s="79">
        <f t="shared" si="97"/>
        <v>0.63581667643463102</v>
      </c>
      <c r="P54" s="71">
        <f t="shared" ref="P54:P59" si="102">N54/7/L54</f>
        <v>3165.1960983539934</v>
      </c>
      <c r="Q54" s="79">
        <f t="shared" si="99"/>
        <v>0.73032996617491397</v>
      </c>
      <c r="R54" s="74" t="s">
        <v>231</v>
      </c>
      <c r="S54" s="59" t="s">
        <v>198</v>
      </c>
      <c r="T54" s="72">
        <f t="shared" si="91"/>
        <v>79</v>
      </c>
      <c r="U54" s="69">
        <f t="shared" si="100"/>
        <v>1.7555555555555555</v>
      </c>
      <c r="V54" s="73"/>
      <c r="W54" s="69"/>
      <c r="X54" s="71"/>
      <c r="Y54" s="69"/>
    </row>
    <row r="55" spans="2:25" ht="15" x14ac:dyDescent="0.5">
      <c r="B55" s="74" t="s">
        <v>232</v>
      </c>
      <c r="C55" s="59" t="s">
        <v>201</v>
      </c>
      <c r="D55" s="75">
        <v>477</v>
      </c>
      <c r="E55" s="69">
        <f t="shared" si="92"/>
        <v>1.1521739130434783</v>
      </c>
      <c r="F55" s="70">
        <v>6510574.8178947363</v>
      </c>
      <c r="G55" s="79">
        <f t="shared" si="93"/>
        <v>2.027112100922591</v>
      </c>
      <c r="H55" s="71">
        <f t="shared" si="101"/>
        <v>1949.8576873000109</v>
      </c>
      <c r="I55" s="79">
        <f t="shared" si="95"/>
        <v>1.7593803140082862</v>
      </c>
      <c r="J55" s="74" t="s">
        <v>232</v>
      </c>
      <c r="K55" s="59" t="s">
        <v>201</v>
      </c>
      <c r="L55" s="76">
        <v>298</v>
      </c>
      <c r="M55" s="69">
        <f t="shared" si="96"/>
        <v>0.87647058823529411</v>
      </c>
      <c r="N55" s="70">
        <v>6546026.9284210531</v>
      </c>
      <c r="O55" s="79">
        <f t="shared" si="97"/>
        <v>0.63462814599292894</v>
      </c>
      <c r="P55" s="71">
        <f t="shared" si="102"/>
        <v>3138.0761881213102</v>
      </c>
      <c r="Q55" s="79">
        <f t="shared" si="99"/>
        <v>0.72407238133421414</v>
      </c>
      <c r="R55" s="74" t="s">
        <v>232</v>
      </c>
      <c r="S55" s="59" t="s">
        <v>201</v>
      </c>
      <c r="T55" s="72">
        <f t="shared" si="91"/>
        <v>80</v>
      </c>
      <c r="U55" s="69">
        <f t="shared" si="100"/>
        <v>1.7777777777777777</v>
      </c>
      <c r="V55" s="73"/>
      <c r="W55" s="69"/>
      <c r="X55" s="71"/>
      <c r="Y55" s="69"/>
    </row>
    <row r="56" spans="2:25" ht="15" x14ac:dyDescent="0.5">
      <c r="B56" s="74" t="s">
        <v>233</v>
      </c>
      <c r="C56" s="59" t="s">
        <v>203</v>
      </c>
      <c r="D56" s="75">
        <v>501</v>
      </c>
      <c r="E56" s="69">
        <f t="shared" si="92"/>
        <v>1.2101449275362319</v>
      </c>
      <c r="F56" s="70">
        <v>6038693.4736842103</v>
      </c>
      <c r="G56" s="79">
        <f t="shared" si="93"/>
        <v>1.8801886095559577</v>
      </c>
      <c r="H56" s="71">
        <f t="shared" si="101"/>
        <v>1721.8971980850331</v>
      </c>
      <c r="I56" s="79">
        <f t="shared" si="95"/>
        <v>1.553688791130073</v>
      </c>
      <c r="J56" s="74" t="s">
        <v>233</v>
      </c>
      <c r="K56" s="59" t="s">
        <v>203</v>
      </c>
      <c r="L56" s="76">
        <v>299</v>
      </c>
      <c r="M56" s="69">
        <f t="shared" si="96"/>
        <v>0.87941176470588234</v>
      </c>
      <c r="N56" s="70">
        <v>6978321.0526315803</v>
      </c>
      <c r="O56" s="79">
        <f t="shared" si="97"/>
        <v>0.67653845610488839</v>
      </c>
      <c r="P56" s="71">
        <f t="shared" si="102"/>
        <v>3334.1237709658767</v>
      </c>
      <c r="Q56" s="79">
        <f t="shared" si="99"/>
        <v>0.76930794339686293</v>
      </c>
      <c r="R56" s="74" t="s">
        <v>233</v>
      </c>
      <c r="S56" s="59" t="s">
        <v>203</v>
      </c>
      <c r="T56" s="76">
        <v>79</v>
      </c>
      <c r="U56" s="69">
        <f t="shared" si="100"/>
        <v>1.7555555555555555</v>
      </c>
      <c r="V56" s="73"/>
      <c r="W56" s="69"/>
      <c r="X56" s="71"/>
      <c r="Y56" s="69"/>
    </row>
    <row r="57" spans="2:25" ht="17.25" customHeight="1" x14ac:dyDescent="0.5">
      <c r="B57" s="74" t="s">
        <v>234</v>
      </c>
      <c r="C57" s="59" t="s">
        <v>205</v>
      </c>
      <c r="D57" s="75">
        <v>507</v>
      </c>
      <c r="E57" s="69">
        <f t="shared" si="92"/>
        <v>1.2246376811594204</v>
      </c>
      <c r="F57" s="70">
        <v>4410381</v>
      </c>
      <c r="G57" s="79">
        <f t="shared" si="93"/>
        <v>1.3732023584470581</v>
      </c>
      <c r="H57" s="71">
        <f t="shared" si="101"/>
        <v>1242.7109044801352</v>
      </c>
      <c r="I57" s="79">
        <f t="shared" si="95"/>
        <v>1.1213131684360591</v>
      </c>
      <c r="J57" s="74" t="s">
        <v>234</v>
      </c>
      <c r="K57" s="59" t="s">
        <v>205</v>
      </c>
      <c r="L57" s="76">
        <v>337</v>
      </c>
      <c r="M57" s="69">
        <f t="shared" si="96"/>
        <v>0.99117647058823533</v>
      </c>
      <c r="N57" s="70">
        <v>8327611</v>
      </c>
      <c r="O57" s="79">
        <f t="shared" si="97"/>
        <v>0.80735022743865859</v>
      </c>
      <c r="P57" s="71">
        <f t="shared" si="102"/>
        <v>3530.1445527766004</v>
      </c>
      <c r="Q57" s="79">
        <f t="shared" si="99"/>
        <v>0.81453732145146562</v>
      </c>
      <c r="R57" s="74" t="s">
        <v>234</v>
      </c>
      <c r="S57" s="59" t="s">
        <v>205</v>
      </c>
      <c r="T57" s="76">
        <v>81</v>
      </c>
      <c r="U57" s="69">
        <f t="shared" si="100"/>
        <v>1.8</v>
      </c>
      <c r="V57" s="73"/>
      <c r="W57" s="69"/>
      <c r="X57" s="71"/>
      <c r="Y57" s="69"/>
    </row>
    <row r="58" spans="2:25" ht="17.25" customHeight="1" x14ac:dyDescent="0.5">
      <c r="B58" s="74" t="s">
        <v>235</v>
      </c>
      <c r="C58" s="59" t="s">
        <v>236</v>
      </c>
      <c r="D58" s="75">
        <v>608.71428571428567</v>
      </c>
      <c r="E58" s="69">
        <f t="shared" ref="E58" si="103">D58/$D$36</f>
        <v>1.4703243616287094</v>
      </c>
      <c r="F58" s="70">
        <v>9529977.2389473692</v>
      </c>
      <c r="G58" s="79">
        <f t="shared" ref="G58" si="104">F58/$F$36</f>
        <v>2.9672237433612447</v>
      </c>
      <c r="H58" s="71">
        <f t="shared" si="101"/>
        <v>2236.5588450944306</v>
      </c>
      <c r="I58" s="79">
        <f t="shared" ref="I58" si="105">H58/$H$36</f>
        <v>2.0180742568084691</v>
      </c>
      <c r="J58" s="74" t="s">
        <v>235</v>
      </c>
      <c r="K58" s="59" t="s">
        <v>236</v>
      </c>
      <c r="L58" s="76">
        <v>304.85714285714283</v>
      </c>
      <c r="M58" s="69">
        <f t="shared" ref="M58" si="106">L58/$L$36</f>
        <v>0.8966386554621848</v>
      </c>
      <c r="N58" s="70">
        <v>7555951.3147368422</v>
      </c>
      <c r="O58" s="79">
        <f t="shared" ref="O58" si="107">N58/$N$36</f>
        <v>0.73253890130893728</v>
      </c>
      <c r="P58" s="71">
        <f t="shared" si="102"/>
        <v>3540.7456957529726</v>
      </c>
      <c r="Q58" s="79">
        <f t="shared" ref="Q58" si="108">P58/$P$36</f>
        <v>0.81698340445888984</v>
      </c>
      <c r="R58" s="74" t="s">
        <v>235</v>
      </c>
      <c r="S58" s="59" t="s">
        <v>236</v>
      </c>
      <c r="T58" s="76">
        <v>85.142857142857139</v>
      </c>
      <c r="U58" s="69">
        <f t="shared" ref="U58" si="109">T58/$T$36</f>
        <v>1.892063492063492</v>
      </c>
      <c r="V58" s="73"/>
      <c r="W58" s="69"/>
      <c r="X58" s="71"/>
      <c r="Y58" s="69"/>
    </row>
    <row r="59" spans="2:25" ht="17.25" customHeight="1" x14ac:dyDescent="0.5">
      <c r="B59" s="74" t="s">
        <v>269</v>
      </c>
      <c r="C59" s="59" t="s">
        <v>270</v>
      </c>
      <c r="D59" s="75">
        <v>515.28571428571433</v>
      </c>
      <c r="E59" s="69">
        <f t="shared" ref="E59" si="110">D59/$D$36</f>
        <v>1.2446514837819187</v>
      </c>
      <c r="F59" s="70">
        <v>6787705.6842105258</v>
      </c>
      <c r="G59" s="79">
        <f t="shared" ref="G59" si="111">F59/$F$36</f>
        <v>2.1133986959408713</v>
      </c>
      <c r="H59" s="71">
        <f t="shared" si="101"/>
        <v>1881.8147169976503</v>
      </c>
      <c r="I59" s="79">
        <f t="shared" ref="I59" si="112">H59/$H$36</f>
        <v>1.6979843140661612</v>
      </c>
      <c r="J59" s="74" t="s">
        <v>269</v>
      </c>
      <c r="K59" s="59" t="s">
        <v>270</v>
      </c>
      <c r="L59" s="76">
        <v>277.14285714285717</v>
      </c>
      <c r="M59" s="69">
        <f t="shared" ref="M59" si="113">L59/$L$36</f>
        <v>0.81512605042016817</v>
      </c>
      <c r="N59" s="70">
        <v>5417330.5263157897</v>
      </c>
      <c r="O59" s="79">
        <f t="shared" ref="O59" si="114">N59/$N$36</f>
        <v>0.52520261003202962</v>
      </c>
      <c r="P59" s="71">
        <f t="shared" si="102"/>
        <v>2792.4384156266951</v>
      </c>
      <c r="Q59" s="79">
        <f t="shared" ref="Q59" si="115">P59/$P$36</f>
        <v>0.64432072777125271</v>
      </c>
      <c r="R59" s="74" t="s">
        <v>269</v>
      </c>
      <c r="S59" s="59" t="s">
        <v>270</v>
      </c>
      <c r="T59" s="76">
        <v>75.428571428571431</v>
      </c>
      <c r="U59" s="69">
        <f t="shared" ref="U59" si="116">T59/$T$36</f>
        <v>1.6761904761904762</v>
      </c>
      <c r="V59" s="73"/>
      <c r="W59" s="69"/>
      <c r="X59" s="71"/>
      <c r="Y59" s="69"/>
    </row>
    <row r="60" spans="2:25" ht="17.25" customHeight="1" x14ac:dyDescent="0.5">
      <c r="B60" s="74" t="s">
        <v>271</v>
      </c>
      <c r="C60" s="59" t="s">
        <v>272</v>
      </c>
      <c r="D60" s="75">
        <v>509.85714285714283</v>
      </c>
      <c r="E60" s="69">
        <f t="shared" ref="E60" si="117">D60/$D$36</f>
        <v>1.2315389924085576</v>
      </c>
      <c r="F60" s="70">
        <v>5975041.8947368432</v>
      </c>
      <c r="G60" s="79">
        <f t="shared" ref="G60" si="118">F60/$F$36</f>
        <v>1.8603702541056228</v>
      </c>
      <c r="H60" s="71">
        <f t="shared" ref="H60" si="119">F60/7/D60</f>
        <v>1674.1501526301047</v>
      </c>
      <c r="I60" s="79">
        <f t="shared" ref="I60" si="120">H60/$H$36</f>
        <v>1.5106060511062189</v>
      </c>
      <c r="J60" s="74" t="s">
        <v>271</v>
      </c>
      <c r="K60" s="59" t="s">
        <v>272</v>
      </c>
      <c r="L60" s="76">
        <v>225.71428571428572</v>
      </c>
      <c r="M60" s="69">
        <f t="shared" ref="M60" si="121">L60/$L$36</f>
        <v>0.66386554621848737</v>
      </c>
      <c r="N60" s="70">
        <v>5801103.1578947371</v>
      </c>
      <c r="O60" s="79">
        <f t="shared" ref="O60" si="122">N60/$N$36</f>
        <v>0.56240882936552106</v>
      </c>
      <c r="P60" s="71">
        <f t="shared" ref="P60" si="123">N60/7/L60</f>
        <v>3671.5842771485673</v>
      </c>
      <c r="Q60" s="79">
        <f t="shared" ref="Q60" si="124">P60/$P$36</f>
        <v>0.84717279360122777</v>
      </c>
      <c r="R60" s="74" t="s">
        <v>271</v>
      </c>
      <c r="S60" s="59" t="s">
        <v>272</v>
      </c>
      <c r="T60" s="76">
        <v>71.714285714285708</v>
      </c>
      <c r="U60" s="69">
        <f t="shared" ref="U60" si="125">T60/$T$36</f>
        <v>1.5936507936507935</v>
      </c>
      <c r="V60" s="73"/>
      <c r="W60" s="69"/>
      <c r="X60" s="71"/>
      <c r="Y60" s="69"/>
    </row>
    <row r="61" spans="2:25" ht="17.25" customHeight="1" x14ac:dyDescent="0.5">
      <c r="B61" s="74" t="s">
        <v>250</v>
      </c>
      <c r="C61" s="59" t="s">
        <v>251</v>
      </c>
      <c r="D61" s="75">
        <v>466</v>
      </c>
      <c r="E61" s="69">
        <f t="shared" ref="E61" si="126">D61/$D$36</f>
        <v>1.1256038647342994</v>
      </c>
      <c r="F61" s="70">
        <v>5802372.9578947369</v>
      </c>
      <c r="G61" s="79">
        <f t="shared" ref="G61" si="127">F61/$F$36</f>
        <v>1.8066085969376533</v>
      </c>
      <c r="H61" s="71">
        <f t="shared" ref="H61" si="128">F61/7/D61</f>
        <v>1778.7777308077059</v>
      </c>
      <c r="I61" s="79">
        <f t="shared" ref="I61" si="129">H61/$H$36</f>
        <v>1.6050127878373142</v>
      </c>
      <c r="J61" s="74" t="s">
        <v>250</v>
      </c>
      <c r="K61" s="59" t="s">
        <v>251</v>
      </c>
      <c r="L61" s="76">
        <v>248.85714290000001</v>
      </c>
      <c r="M61" s="69">
        <f t="shared" ref="M61" si="130">L61/$L$36</f>
        <v>0.73193277323529415</v>
      </c>
      <c r="N61" s="70">
        <v>6494512.2526315786</v>
      </c>
      <c r="O61" s="79">
        <f t="shared" ref="O61" si="131">N61/$N$36</f>
        <v>0.62963387029788731</v>
      </c>
      <c r="P61" s="71">
        <f t="shared" ref="P61" si="132">N61/7/L61</f>
        <v>3728.1930261269349</v>
      </c>
      <c r="Q61" s="79">
        <f t="shared" ref="Q61" si="133">P61/$P$36</f>
        <v>0.86023456432313516</v>
      </c>
      <c r="R61" s="74" t="s">
        <v>250</v>
      </c>
      <c r="S61" s="59" t="s">
        <v>251</v>
      </c>
      <c r="T61" s="76">
        <v>75.285714290000001</v>
      </c>
      <c r="U61" s="69">
        <f t="shared" ref="U61" si="134">T61/$T$36</f>
        <v>1.6730158731111111</v>
      </c>
      <c r="V61" s="73"/>
      <c r="W61" s="69"/>
      <c r="X61" s="71"/>
      <c r="Y61" s="69"/>
    </row>
    <row r="62" spans="2:25" ht="17.25" customHeight="1" x14ac:dyDescent="0.5">
      <c r="B62" s="74" t="s">
        <v>273</v>
      </c>
      <c r="C62" s="59" t="s">
        <v>274</v>
      </c>
      <c r="D62" s="75">
        <v>447.14285714285717</v>
      </c>
      <c r="E62" s="69">
        <f t="shared" ref="E62" si="135">D62/$D$36</f>
        <v>1.0800552104899932</v>
      </c>
      <c r="F62" s="70">
        <v>5121990.8199999994</v>
      </c>
      <c r="G62" s="79">
        <f t="shared" ref="G62" si="136">F62/$F$36</f>
        <v>1.594766954140284</v>
      </c>
      <c r="H62" s="71">
        <f t="shared" ref="H62" si="137">F62/7/D62</f>
        <v>1636.4187923322681</v>
      </c>
      <c r="I62" s="79">
        <f t="shared" ref="I62" si="138">H62/$H$36</f>
        <v>1.4765605856544866</v>
      </c>
      <c r="J62" s="74" t="s">
        <v>273</v>
      </c>
      <c r="K62" s="59" t="s">
        <v>274</v>
      </c>
      <c r="L62" s="76">
        <v>250.14285714285714</v>
      </c>
      <c r="M62" s="69">
        <f t="shared" ref="M62" si="139">L62/$L$36</f>
        <v>0.73571428571428565</v>
      </c>
      <c r="N62" s="70">
        <v>4621604.7</v>
      </c>
      <c r="O62" s="79">
        <f t="shared" ref="O62" si="140">N62/$N$36</f>
        <v>0.44805810522088191</v>
      </c>
      <c r="P62" s="71">
        <f t="shared" ref="P62" si="141">N62/7/L62</f>
        <v>2639.4087378640779</v>
      </c>
      <c r="Q62" s="79">
        <f t="shared" ref="Q62" si="142">P62/$P$36</f>
        <v>0.60901101680508218</v>
      </c>
      <c r="R62" s="74" t="s">
        <v>273</v>
      </c>
      <c r="S62" s="59" t="s">
        <v>274</v>
      </c>
      <c r="T62" s="76">
        <v>72.428571428571431</v>
      </c>
      <c r="U62" s="69">
        <f t="shared" ref="U62" si="143">T62/$T$36</f>
        <v>1.6095238095238096</v>
      </c>
      <c r="V62" s="73"/>
      <c r="W62" s="69"/>
      <c r="X62" s="71"/>
      <c r="Y62" s="69"/>
    </row>
    <row r="63" spans="2:25" ht="17.25" customHeight="1" x14ac:dyDescent="0.5">
      <c r="B63" s="74" t="s">
        <v>252</v>
      </c>
      <c r="C63" s="59" t="s">
        <v>253</v>
      </c>
      <c r="D63" s="75">
        <v>493.71428571428572</v>
      </c>
      <c r="E63" s="69">
        <f t="shared" ref="E63" si="144">D63/$D$36</f>
        <v>1.1925465838509317</v>
      </c>
      <c r="F63" s="70">
        <v>6791341.8947368423</v>
      </c>
      <c r="G63" s="79">
        <f t="shared" ref="G63" si="145">F63/$F$36</f>
        <v>2.114530855015234</v>
      </c>
      <c r="H63" s="71">
        <f t="shared" ref="H63" si="146">F63/7/D63</f>
        <v>1965.0873538011695</v>
      </c>
      <c r="I63" s="79">
        <f t="shared" ref="I63" si="147">H63/$H$36</f>
        <v>1.773122227382566</v>
      </c>
      <c r="J63" s="74" t="s">
        <v>252</v>
      </c>
      <c r="K63" s="59" t="s">
        <v>253</v>
      </c>
      <c r="L63" s="76">
        <v>264.28571428571428</v>
      </c>
      <c r="M63" s="69">
        <f t="shared" ref="M63" si="148">L63/$L$36</f>
        <v>0.77731092436974791</v>
      </c>
      <c r="N63" s="70">
        <v>5388238.9473684225</v>
      </c>
      <c r="O63" s="79">
        <f t="shared" ref="O63" si="149">N63/$N$36</f>
        <v>0.52238222218253638</v>
      </c>
      <c r="P63" s="71">
        <f t="shared" ref="P63" si="150">N63/7/L63</f>
        <v>2912.5615931721204</v>
      </c>
      <c r="Q63" s="79">
        <f t="shared" ref="Q63" si="151">P63/$P$36</f>
        <v>0.67203766961861444</v>
      </c>
      <c r="R63" s="74" t="s">
        <v>252</v>
      </c>
      <c r="S63" s="59" t="s">
        <v>253</v>
      </c>
      <c r="T63" s="76">
        <v>72</v>
      </c>
      <c r="U63" s="69">
        <f t="shared" ref="U63" si="152">T63/$T$36</f>
        <v>1.6</v>
      </c>
      <c r="V63" s="73"/>
      <c r="W63" s="69"/>
      <c r="X63" s="71"/>
      <c r="Y63" s="69"/>
    </row>
    <row r="64" spans="2:25" ht="17.25" customHeight="1" x14ac:dyDescent="0.5">
      <c r="B64" s="74" t="s">
        <v>511</v>
      </c>
      <c r="C64" s="59" t="s">
        <v>513</v>
      </c>
      <c r="D64" s="75">
        <v>485.85714285714283</v>
      </c>
      <c r="E64" s="69">
        <f t="shared" ref="E64" si="153">D64/$D$36</f>
        <v>1.1735679779158039</v>
      </c>
      <c r="F64" s="70">
        <v>6619197.6842105268</v>
      </c>
      <c r="G64" s="79">
        <f t="shared" ref="G64" si="154">F64/$F$36</f>
        <v>2.0609325749827963</v>
      </c>
      <c r="H64" s="71">
        <f t="shared" ref="H64" si="155">F64/7/D64</f>
        <v>1946.2504217025955</v>
      </c>
      <c r="I64" s="79">
        <f t="shared" ref="I64" si="156">H64/$H$36</f>
        <v>1.7561254343722859</v>
      </c>
      <c r="J64" s="74" t="s">
        <v>511</v>
      </c>
      <c r="K64" s="59" t="s">
        <v>513</v>
      </c>
      <c r="L64" s="76">
        <v>278.42857142857144</v>
      </c>
      <c r="M64" s="69">
        <f t="shared" ref="M64" si="157">L64/$L$36</f>
        <v>0.81890756302521017</v>
      </c>
      <c r="N64" s="70">
        <v>6560605.2631578948</v>
      </c>
      <c r="O64" s="79">
        <f t="shared" ref="O64" si="158">N64/$N$36</f>
        <v>0.636041495135374</v>
      </c>
      <c r="P64" s="71">
        <f t="shared" ref="P64" si="159">N64/7/L64</f>
        <v>3366.1391806864517</v>
      </c>
      <c r="Q64" s="79">
        <f t="shared" ref="Q64" si="160">P64/$P$36</f>
        <v>0.77669510437259615</v>
      </c>
      <c r="R64" s="74" t="s">
        <v>511</v>
      </c>
      <c r="S64" s="59" t="s">
        <v>513</v>
      </c>
      <c r="T64" s="76">
        <v>79.86</v>
      </c>
      <c r="U64" s="69">
        <f t="shared" ref="U64" si="161">T64/$T$36</f>
        <v>1.7746666666666666</v>
      </c>
      <c r="V64" s="73"/>
      <c r="W64" s="69"/>
      <c r="X64" s="71"/>
      <c r="Y64" s="69"/>
    </row>
    <row r="66" spans="2:49" s="77" customFormat="1" ht="16.95" customHeight="1" x14ac:dyDescent="0.5">
      <c r="B66" s="95" t="s">
        <v>279</v>
      </c>
    </row>
    <row r="67" spans="2:49" ht="15" x14ac:dyDescent="0.5">
      <c r="B67" s="143" t="s">
        <v>280</v>
      </c>
      <c r="C67" s="144"/>
      <c r="D67" s="59" t="s">
        <v>248</v>
      </c>
      <c r="E67" s="59" t="s">
        <v>212</v>
      </c>
      <c r="F67" s="59" t="s">
        <v>6</v>
      </c>
      <c r="G67" s="59" t="s">
        <v>212</v>
      </c>
      <c r="H67" s="59" t="s">
        <v>7</v>
      </c>
      <c r="I67" s="59" t="s">
        <v>212</v>
      </c>
      <c r="J67" s="143" t="s">
        <v>281</v>
      </c>
      <c r="K67" s="144"/>
      <c r="L67" s="59" t="s">
        <v>248</v>
      </c>
      <c r="M67" s="59" t="s">
        <v>212</v>
      </c>
      <c r="N67" s="59" t="s">
        <v>6</v>
      </c>
      <c r="O67" s="59" t="s">
        <v>212</v>
      </c>
      <c r="P67" s="59" t="s">
        <v>7</v>
      </c>
      <c r="Q67" s="59" t="s">
        <v>212</v>
      </c>
      <c r="R67" s="143" t="s">
        <v>282</v>
      </c>
      <c r="S67" s="144"/>
      <c r="T67" s="59" t="s">
        <v>248</v>
      </c>
      <c r="U67" s="59" t="s">
        <v>212</v>
      </c>
      <c r="V67" s="59" t="s">
        <v>6</v>
      </c>
      <c r="W67" s="59" t="s">
        <v>212</v>
      </c>
      <c r="X67" s="59" t="s">
        <v>7</v>
      </c>
      <c r="Y67" s="59" t="s">
        <v>212</v>
      </c>
      <c r="Z67" s="143" t="s">
        <v>283</v>
      </c>
      <c r="AA67" s="144"/>
      <c r="AB67" s="59" t="s">
        <v>248</v>
      </c>
      <c r="AC67" s="59" t="s">
        <v>212</v>
      </c>
      <c r="AD67" s="59" t="s">
        <v>6</v>
      </c>
      <c r="AE67" s="59" t="s">
        <v>212</v>
      </c>
      <c r="AF67" s="59" t="s">
        <v>7</v>
      </c>
      <c r="AG67" s="59" t="s">
        <v>212</v>
      </c>
      <c r="AH67" s="143" t="s">
        <v>284</v>
      </c>
      <c r="AI67" s="144"/>
      <c r="AJ67" s="59" t="s">
        <v>248</v>
      </c>
      <c r="AK67" s="59" t="s">
        <v>212</v>
      </c>
      <c r="AL67" s="59" t="s">
        <v>6</v>
      </c>
      <c r="AM67" s="59" t="s">
        <v>212</v>
      </c>
      <c r="AN67" s="59" t="s">
        <v>7</v>
      </c>
      <c r="AO67" s="59" t="s">
        <v>212</v>
      </c>
      <c r="AP67" s="143" t="s">
        <v>285</v>
      </c>
      <c r="AQ67" s="144"/>
      <c r="AR67" s="59" t="s">
        <v>248</v>
      </c>
      <c r="AS67" s="59" t="s">
        <v>212</v>
      </c>
      <c r="AT67" s="59" t="s">
        <v>6</v>
      </c>
      <c r="AU67" s="59" t="s">
        <v>212</v>
      </c>
      <c r="AV67" s="59" t="s">
        <v>7</v>
      </c>
      <c r="AW67" s="59" t="s">
        <v>212</v>
      </c>
    </row>
    <row r="68" spans="2:49" ht="16.2" thickBot="1" x14ac:dyDescent="0.6">
      <c r="B68" s="145" t="s">
        <v>213</v>
      </c>
      <c r="C68" s="146"/>
      <c r="D68" s="81">
        <v>296</v>
      </c>
      <c r="E68" s="61"/>
      <c r="F68" s="62">
        <v>1979363.4777777777</v>
      </c>
      <c r="G68" s="61"/>
      <c r="H68" s="63">
        <f>F68/D68/7</f>
        <v>955.29125375375372</v>
      </c>
      <c r="I68" s="61"/>
      <c r="J68" s="147" t="s">
        <v>213</v>
      </c>
      <c r="K68" s="148"/>
      <c r="L68" s="64">
        <v>299</v>
      </c>
      <c r="M68" s="61"/>
      <c r="N68" s="65">
        <v>9276534.0888888892</v>
      </c>
      <c r="O68" s="61"/>
      <c r="P68" s="63">
        <f>N68/L68/7</f>
        <v>4432.1710888145672</v>
      </c>
      <c r="Q68" s="61"/>
      <c r="R68" s="147" t="s">
        <v>213</v>
      </c>
      <c r="S68" s="148"/>
      <c r="T68" s="64">
        <v>106</v>
      </c>
      <c r="U68" s="61"/>
      <c r="V68" s="65">
        <v>1170799.7</v>
      </c>
      <c r="W68" s="61"/>
      <c r="X68" s="63">
        <f>V68/T68/7</f>
        <v>1577.8971698113205</v>
      </c>
      <c r="Y68" s="61"/>
      <c r="Z68" s="147" t="s">
        <v>213</v>
      </c>
      <c r="AA68" s="148"/>
      <c r="AB68" s="64">
        <v>34</v>
      </c>
      <c r="AC68" s="61"/>
      <c r="AD68" s="65">
        <v>846263.98888888885</v>
      </c>
      <c r="AE68" s="61"/>
      <c r="AF68" s="63">
        <f>AD68/AB68/7</f>
        <v>3555.7310457516337</v>
      </c>
      <c r="AG68" s="61"/>
      <c r="AH68" s="147" t="s">
        <v>213</v>
      </c>
      <c r="AI68" s="148"/>
      <c r="AJ68" s="64">
        <v>13</v>
      </c>
      <c r="AK68" s="61"/>
      <c r="AL68" s="65">
        <v>61585.602633333336</v>
      </c>
      <c r="AM68" s="61"/>
      <c r="AN68" s="63">
        <f>AL68/AJ68/7</f>
        <v>676.76486410256416</v>
      </c>
      <c r="AO68" s="61"/>
      <c r="AP68" s="147" t="s">
        <v>213</v>
      </c>
      <c r="AQ68" s="148"/>
      <c r="AR68" s="64">
        <v>7</v>
      </c>
      <c r="AS68" s="61"/>
      <c r="AT68" s="65">
        <v>191946.02828333335</v>
      </c>
      <c r="AU68" s="61"/>
      <c r="AV68" s="63">
        <f>AT68/AR68/7</f>
        <v>3917.2658833333335</v>
      </c>
      <c r="AW68" s="61"/>
    </row>
    <row r="69" spans="2:49" ht="15.6" thickTop="1" x14ac:dyDescent="0.5">
      <c r="B69" s="66" t="s">
        <v>214</v>
      </c>
      <c r="C69" s="67" t="s">
        <v>21</v>
      </c>
      <c r="D69" s="68">
        <v>214</v>
      </c>
      <c r="E69" s="69">
        <f>D69/$D$68</f>
        <v>0.72297297297297303</v>
      </c>
      <c r="F69" s="70">
        <v>3102089</v>
      </c>
      <c r="G69" s="69">
        <f>F69/$F$68</f>
        <v>1.5672154381077603</v>
      </c>
      <c r="H69" s="71">
        <f>F69/7/D69</f>
        <v>2070.820427236315</v>
      </c>
      <c r="I69" s="69">
        <f>H69/$H$68</f>
        <v>2.1677372414948461</v>
      </c>
      <c r="J69" s="66" t="s">
        <v>214</v>
      </c>
      <c r="K69" s="67" t="s">
        <v>21</v>
      </c>
      <c r="L69" s="72">
        <v>251</v>
      </c>
      <c r="M69" s="69">
        <f>L69/$L$68</f>
        <v>0.83946488294314381</v>
      </c>
      <c r="N69" s="73">
        <v>7194060</v>
      </c>
      <c r="O69" s="69">
        <f>N69/$N$68</f>
        <v>0.7755116222358085</v>
      </c>
      <c r="P69" s="71">
        <f>N69/7/L69</f>
        <v>4094.5133750711439</v>
      </c>
      <c r="Q69" s="69">
        <f>P69/$P$68</f>
        <v>0.92381663365938937</v>
      </c>
      <c r="R69" s="66" t="s">
        <v>214</v>
      </c>
      <c r="S69" s="67" t="s">
        <v>21</v>
      </c>
      <c r="T69" s="72">
        <v>37.142857142857146</v>
      </c>
      <c r="U69" s="69">
        <f>T69/$T$68</f>
        <v>0.35040431266846361</v>
      </c>
      <c r="V69" s="73">
        <v>65282</v>
      </c>
      <c r="W69" s="69">
        <f>V69/$V$68</f>
        <v>5.5758470044022047E-2</v>
      </c>
      <c r="X69" s="71">
        <f>V69/7/T69</f>
        <v>251.08461538461538</v>
      </c>
      <c r="Y69" s="69">
        <f>X69/$X$68</f>
        <v>0.15912609527947832</v>
      </c>
      <c r="Z69" s="66" t="s">
        <v>214</v>
      </c>
      <c r="AA69" s="67" t="s">
        <v>21</v>
      </c>
      <c r="AB69" s="72">
        <v>0.14285714285714285</v>
      </c>
      <c r="AC69" s="69">
        <f>AB69/$AB$68</f>
        <v>4.2016806722689074E-3</v>
      </c>
      <c r="AD69" s="73">
        <v>0</v>
      </c>
      <c r="AE69" s="69">
        <f>AD69/$AD$68</f>
        <v>0</v>
      </c>
      <c r="AF69" s="71">
        <f>AD69/7/AB69</f>
        <v>0</v>
      </c>
      <c r="AG69" s="69">
        <f>AF69/$AF$68</f>
        <v>0</v>
      </c>
      <c r="AH69" s="66" t="s">
        <v>214</v>
      </c>
      <c r="AI69" s="67" t="s">
        <v>21</v>
      </c>
      <c r="AJ69" s="72">
        <v>0</v>
      </c>
      <c r="AK69" s="69">
        <f>AJ69/$AJ$68</f>
        <v>0</v>
      </c>
      <c r="AL69" s="73">
        <v>0</v>
      </c>
      <c r="AM69" s="69">
        <f>AL69/$AL$68</f>
        <v>0</v>
      </c>
      <c r="AN69" s="71" t="e">
        <f>AL69/7/AJ69</f>
        <v>#DIV/0!</v>
      </c>
      <c r="AO69" s="69" t="e">
        <f>AN69/$AN$68</f>
        <v>#DIV/0!</v>
      </c>
      <c r="AP69" s="66" t="s">
        <v>214</v>
      </c>
      <c r="AQ69" s="67" t="s">
        <v>21</v>
      </c>
      <c r="AR69" s="72">
        <v>0</v>
      </c>
      <c r="AS69" s="69">
        <f>AR69/$AR$68</f>
        <v>0</v>
      </c>
      <c r="AT69" s="73">
        <v>0</v>
      </c>
      <c r="AU69" s="69">
        <f>AT69/$AT$68</f>
        <v>0</v>
      </c>
      <c r="AV69" s="71" t="e">
        <f>AT69/7/AR69</f>
        <v>#DIV/0!</v>
      </c>
      <c r="AW69" s="69" t="e">
        <f>AV69/$AV$68</f>
        <v>#DIV/0!</v>
      </c>
    </row>
    <row r="70" spans="2:49" ht="15" x14ac:dyDescent="0.5">
      <c r="B70" s="74" t="s">
        <v>215</v>
      </c>
      <c r="C70" s="59" t="s">
        <v>30</v>
      </c>
      <c r="D70" s="75">
        <v>128.42857142857142</v>
      </c>
      <c r="E70" s="69">
        <f t="shared" ref="E70:E89" si="162">D70/$D$68</f>
        <v>0.43388030888030882</v>
      </c>
      <c r="F70" s="70">
        <v>2148346.8421052629</v>
      </c>
      <c r="G70" s="69">
        <f t="shared" ref="G70:G89" si="163">F70/$F$68</f>
        <v>1.0853725787227326</v>
      </c>
      <c r="H70" s="71">
        <f t="shared" ref="H70:H84" si="164">F70/7/D70</f>
        <v>2389.7072770915051</v>
      </c>
      <c r="I70" s="69">
        <f t="shared" ref="I70:I89" si="165">H70/$H$68</f>
        <v>2.5015483683131281</v>
      </c>
      <c r="J70" s="74" t="s">
        <v>215</v>
      </c>
      <c r="K70" s="59" t="s">
        <v>30</v>
      </c>
      <c r="L70" s="76">
        <v>281.57142857142856</v>
      </c>
      <c r="M70" s="69">
        <f t="shared" ref="M70:M89" si="166">L70/$L$68</f>
        <v>0.94171046344959386</v>
      </c>
      <c r="N70" s="73">
        <v>5793109.1578947371</v>
      </c>
      <c r="O70" s="69">
        <f t="shared" ref="O70:O89" si="167">N70/$N$68</f>
        <v>0.62449068826616205</v>
      </c>
      <c r="P70" s="71">
        <f t="shared" ref="P70:P84" si="168">N70/7/L70</f>
        <v>2939.1725813773401</v>
      </c>
      <c r="Q70" s="69">
        <f t="shared" ref="Q70:Q89" si="169">P70/$P$68</f>
        <v>0.66314510935620363</v>
      </c>
      <c r="R70" s="74" t="s">
        <v>215</v>
      </c>
      <c r="S70" s="59" t="s">
        <v>30</v>
      </c>
      <c r="T70" s="76">
        <v>64.285714285714292</v>
      </c>
      <c r="U70" s="69">
        <f t="shared" ref="U70:U89" si="170">T70/$T$68</f>
        <v>0.60646900269541781</v>
      </c>
      <c r="V70" s="73">
        <v>187100.68421052632</v>
      </c>
      <c r="W70" s="69">
        <f t="shared" ref="W70:W89" si="171">V70/$V$68</f>
        <v>0.15980588670335868</v>
      </c>
      <c r="X70" s="71">
        <f t="shared" ref="X70:X84" si="172">V70/7/T70</f>
        <v>415.77929824561403</v>
      </c>
      <c r="Y70" s="69">
        <f t="shared" ref="Y70:Y89" si="173">X70/$X$68</f>
        <v>0.26350215096420476</v>
      </c>
      <c r="Z70" s="74" t="s">
        <v>215</v>
      </c>
      <c r="AA70" s="59" t="s">
        <v>30</v>
      </c>
      <c r="AB70" s="76">
        <v>0</v>
      </c>
      <c r="AC70" s="69">
        <f t="shared" ref="AC70:AC89" si="174">AB70/$AB$68</f>
        <v>0</v>
      </c>
      <c r="AD70" s="73">
        <v>0</v>
      </c>
      <c r="AE70" s="69">
        <f t="shared" ref="AE70:AE89" si="175">AD70/$AD$68</f>
        <v>0</v>
      </c>
      <c r="AF70" s="71" t="e">
        <f t="shared" ref="AF70:AF84" si="176">AD70/7/AB70</f>
        <v>#DIV/0!</v>
      </c>
      <c r="AG70" s="69" t="e">
        <f t="shared" ref="AG70:AG89" si="177">AF70/$AF$68</f>
        <v>#DIV/0!</v>
      </c>
      <c r="AH70" s="74" t="s">
        <v>215</v>
      </c>
      <c r="AI70" s="59" t="s">
        <v>30</v>
      </c>
      <c r="AJ70" s="76">
        <v>0</v>
      </c>
      <c r="AK70" s="69">
        <f t="shared" ref="AK70:AK89" si="178">AJ70/$AJ$68</f>
        <v>0</v>
      </c>
      <c r="AL70" s="73">
        <v>0</v>
      </c>
      <c r="AM70" s="69">
        <f t="shared" ref="AM70:AM89" si="179">AL70/$AL$68</f>
        <v>0</v>
      </c>
      <c r="AN70" s="71" t="e">
        <f t="shared" ref="AN70:AN84" si="180">AL70/7/AJ70</f>
        <v>#DIV/0!</v>
      </c>
      <c r="AO70" s="69" t="e">
        <f t="shared" ref="AO70:AO89" si="181">AN70/$AN$68</f>
        <v>#DIV/0!</v>
      </c>
      <c r="AP70" s="74" t="s">
        <v>215</v>
      </c>
      <c r="AQ70" s="59" t="s">
        <v>30</v>
      </c>
      <c r="AR70" s="76">
        <v>0</v>
      </c>
      <c r="AS70" s="69">
        <f t="shared" ref="AS70:AS89" si="182">AR70/$AR$68</f>
        <v>0</v>
      </c>
      <c r="AT70" s="73">
        <v>0</v>
      </c>
      <c r="AU70" s="69">
        <f t="shared" ref="AU70:AU89" si="183">AT70/$AT$68</f>
        <v>0</v>
      </c>
      <c r="AV70" s="71" t="e">
        <f t="shared" ref="AV70:AV84" si="184">AT70/7/AR70</f>
        <v>#DIV/0!</v>
      </c>
      <c r="AW70" s="69" t="e">
        <f t="shared" ref="AW70:AW89" si="185">AV70/$AV$68</f>
        <v>#DIV/0!</v>
      </c>
    </row>
    <row r="71" spans="2:49" ht="15" x14ac:dyDescent="0.5">
      <c r="B71" s="74" t="s">
        <v>216</v>
      </c>
      <c r="C71" s="59" t="s">
        <v>39</v>
      </c>
      <c r="D71" s="75">
        <v>195.85714285714286</v>
      </c>
      <c r="E71" s="69">
        <f t="shared" si="162"/>
        <v>0.66167953667953672</v>
      </c>
      <c r="F71" s="70">
        <v>2817620</v>
      </c>
      <c r="G71" s="69">
        <f t="shared" si="163"/>
        <v>1.4234980243059396</v>
      </c>
      <c r="H71" s="71">
        <f t="shared" si="164"/>
        <v>2055.156819839533</v>
      </c>
      <c r="I71" s="69">
        <f t="shared" si="165"/>
        <v>2.1513405589802379</v>
      </c>
      <c r="J71" s="74" t="s">
        <v>216</v>
      </c>
      <c r="K71" s="59" t="s">
        <v>39</v>
      </c>
      <c r="L71" s="76">
        <v>264.57142857142856</v>
      </c>
      <c r="M71" s="69">
        <f t="shared" si="166"/>
        <v>0.88485427615862389</v>
      </c>
      <c r="N71" s="73">
        <v>4813757.8947368432</v>
      </c>
      <c r="O71" s="69">
        <f t="shared" si="167"/>
        <v>0.51891771739432246</v>
      </c>
      <c r="P71" s="71">
        <f t="shared" si="168"/>
        <v>2599.2213254518592</v>
      </c>
      <c r="Q71" s="69">
        <f t="shared" si="169"/>
        <v>0.58644426701205021</v>
      </c>
      <c r="R71" s="74" t="s">
        <v>216</v>
      </c>
      <c r="S71" s="59" t="s">
        <v>39</v>
      </c>
      <c r="T71" s="76">
        <v>71.571428571428569</v>
      </c>
      <c r="U71" s="69">
        <f t="shared" si="170"/>
        <v>0.67520215633423175</v>
      </c>
      <c r="V71" s="73">
        <v>861648.21052631573</v>
      </c>
      <c r="W71" s="69">
        <f t="shared" si="171"/>
        <v>0.73594843808579369</v>
      </c>
      <c r="X71" s="71">
        <f t="shared" si="172"/>
        <v>1719.8567076373567</v>
      </c>
      <c r="Y71" s="69">
        <f t="shared" si="173"/>
        <v>1.0899675470252674</v>
      </c>
      <c r="Z71" s="74" t="s">
        <v>216</v>
      </c>
      <c r="AA71" s="59" t="s">
        <v>39</v>
      </c>
      <c r="AB71" s="76">
        <v>0</v>
      </c>
      <c r="AC71" s="69">
        <f t="shared" si="174"/>
        <v>0</v>
      </c>
      <c r="AD71" s="73">
        <v>0</v>
      </c>
      <c r="AE71" s="69">
        <f t="shared" si="175"/>
        <v>0</v>
      </c>
      <c r="AF71" s="71" t="e">
        <f t="shared" si="176"/>
        <v>#DIV/0!</v>
      </c>
      <c r="AG71" s="69" t="e">
        <f t="shared" si="177"/>
        <v>#DIV/0!</v>
      </c>
      <c r="AH71" s="74" t="s">
        <v>216</v>
      </c>
      <c r="AI71" s="59" t="s">
        <v>39</v>
      </c>
      <c r="AJ71" s="76">
        <v>0</v>
      </c>
      <c r="AK71" s="69">
        <f t="shared" si="178"/>
        <v>0</v>
      </c>
      <c r="AL71" s="73">
        <v>0</v>
      </c>
      <c r="AM71" s="69">
        <f t="shared" si="179"/>
        <v>0</v>
      </c>
      <c r="AN71" s="71" t="e">
        <f t="shared" si="180"/>
        <v>#DIV/0!</v>
      </c>
      <c r="AO71" s="69" t="e">
        <f t="shared" si="181"/>
        <v>#DIV/0!</v>
      </c>
      <c r="AP71" s="74" t="s">
        <v>216</v>
      </c>
      <c r="AQ71" s="59" t="s">
        <v>39</v>
      </c>
      <c r="AR71" s="76">
        <v>0</v>
      </c>
      <c r="AS71" s="69">
        <f t="shared" si="182"/>
        <v>0</v>
      </c>
      <c r="AT71" s="73">
        <v>0</v>
      </c>
      <c r="AU71" s="69">
        <f t="shared" si="183"/>
        <v>0</v>
      </c>
      <c r="AV71" s="71" t="e">
        <f t="shared" si="184"/>
        <v>#DIV/0!</v>
      </c>
      <c r="AW71" s="69" t="e">
        <f t="shared" si="185"/>
        <v>#DIV/0!</v>
      </c>
    </row>
    <row r="72" spans="2:49" ht="15" x14ac:dyDescent="0.5">
      <c r="B72" s="74" t="s">
        <v>217</v>
      </c>
      <c r="C72" s="59" t="s">
        <v>48</v>
      </c>
      <c r="D72" s="75">
        <v>276.57142857142856</v>
      </c>
      <c r="E72" s="69">
        <f t="shared" si="162"/>
        <v>0.93436293436293427</v>
      </c>
      <c r="F72" s="70">
        <v>5093849.4736842103</v>
      </c>
      <c r="G72" s="69">
        <f t="shared" si="163"/>
        <v>2.5734785605941624</v>
      </c>
      <c r="H72" s="71">
        <f t="shared" si="164"/>
        <v>2631.1205959112658</v>
      </c>
      <c r="I72" s="69">
        <f t="shared" si="165"/>
        <v>2.7542601123714383</v>
      </c>
      <c r="J72" s="74" t="s">
        <v>217</v>
      </c>
      <c r="K72" s="59" t="s">
        <v>48</v>
      </c>
      <c r="L72" s="76">
        <v>249.71428571428572</v>
      </c>
      <c r="M72" s="69">
        <f t="shared" si="166"/>
        <v>0.8351648351648352</v>
      </c>
      <c r="N72" s="73">
        <v>5216375.7894736845</v>
      </c>
      <c r="O72" s="69">
        <f t="shared" si="167"/>
        <v>0.56231947616315869</v>
      </c>
      <c r="P72" s="71">
        <f t="shared" si="168"/>
        <v>2984.1966759002767</v>
      </c>
      <c r="Q72" s="69">
        <f t="shared" si="169"/>
        <v>0.67330358330062412</v>
      </c>
      <c r="R72" s="74" t="s">
        <v>217</v>
      </c>
      <c r="S72" s="59" t="s">
        <v>48</v>
      </c>
      <c r="T72" s="76">
        <v>71.857142857142861</v>
      </c>
      <c r="U72" s="69">
        <f t="shared" si="170"/>
        <v>0.67789757412398921</v>
      </c>
      <c r="V72" s="73">
        <v>860187.15789473685</v>
      </c>
      <c r="W72" s="69">
        <f t="shared" si="171"/>
        <v>0.73470052810462527</v>
      </c>
      <c r="X72" s="71">
        <f t="shared" si="172"/>
        <v>1710.1136339855602</v>
      </c>
      <c r="Y72" s="69">
        <f t="shared" si="173"/>
        <v>1.0837928267467833</v>
      </c>
      <c r="Z72" s="74" t="s">
        <v>217</v>
      </c>
      <c r="AA72" s="59" t="s">
        <v>48</v>
      </c>
      <c r="AB72" s="76">
        <v>18</v>
      </c>
      <c r="AC72" s="69">
        <f t="shared" si="174"/>
        <v>0.52941176470588236</v>
      </c>
      <c r="AD72" s="73">
        <v>322871.57894736843</v>
      </c>
      <c r="AE72" s="69">
        <f t="shared" si="175"/>
        <v>0.38152583967478759</v>
      </c>
      <c r="AF72" s="71">
        <f t="shared" si="176"/>
        <v>2562.4728487886382</v>
      </c>
      <c r="AG72" s="69">
        <f t="shared" si="177"/>
        <v>0.72065991938570984</v>
      </c>
      <c r="AH72" s="74" t="s">
        <v>217</v>
      </c>
      <c r="AI72" s="59" t="s">
        <v>48</v>
      </c>
      <c r="AJ72" s="76">
        <v>3.1428571428571428</v>
      </c>
      <c r="AK72" s="69">
        <f t="shared" si="178"/>
        <v>0.24175824175824176</v>
      </c>
      <c r="AL72" s="73">
        <v>29356.147368421054</v>
      </c>
      <c r="AM72" s="69">
        <f t="shared" si="179"/>
        <v>0.47667224340079734</v>
      </c>
      <c r="AN72" s="71">
        <f>AL72/7/AJ72</f>
        <v>1334.3703349282298</v>
      </c>
      <c r="AO72" s="69">
        <f t="shared" si="181"/>
        <v>1.9716897340669346</v>
      </c>
      <c r="AP72" s="74" t="s">
        <v>217</v>
      </c>
      <c r="AQ72" s="59" t="s">
        <v>48</v>
      </c>
      <c r="AR72" s="76">
        <v>2.1428571428571428</v>
      </c>
      <c r="AS72" s="69">
        <f t="shared" si="182"/>
        <v>0.30612244897959184</v>
      </c>
      <c r="AT72" s="73">
        <v>82859</v>
      </c>
      <c r="AU72" s="69">
        <f t="shared" si="183"/>
        <v>0.43167863769335746</v>
      </c>
      <c r="AV72" s="71">
        <f t="shared" si="184"/>
        <v>5523.9333333333334</v>
      </c>
      <c r="AW72" s="69">
        <f t="shared" si="185"/>
        <v>1.4101502164649677</v>
      </c>
    </row>
    <row r="73" spans="2:49" ht="15" x14ac:dyDescent="0.5">
      <c r="B73" s="74" t="s">
        <v>218</v>
      </c>
      <c r="C73" s="59" t="s">
        <v>57</v>
      </c>
      <c r="D73" s="75">
        <v>259.57142857142856</v>
      </c>
      <c r="E73" s="69">
        <f t="shared" si="162"/>
        <v>0.87693050193050193</v>
      </c>
      <c r="F73" s="70">
        <v>4592795.7894736845</v>
      </c>
      <c r="G73" s="69">
        <f t="shared" si="163"/>
        <v>2.3203397663121454</v>
      </c>
      <c r="H73" s="71">
        <f t="shared" si="164"/>
        <v>2527.6806766503496</v>
      </c>
      <c r="I73" s="69">
        <f t="shared" si="165"/>
        <v>2.6459790840939825</v>
      </c>
      <c r="J73" s="74" t="s">
        <v>218</v>
      </c>
      <c r="K73" s="59" t="s">
        <v>57</v>
      </c>
      <c r="L73" s="76">
        <v>288</v>
      </c>
      <c r="M73" s="69">
        <f t="shared" si="166"/>
        <v>0.96321070234113715</v>
      </c>
      <c r="N73" s="73">
        <v>4062042.1052631582</v>
      </c>
      <c r="O73" s="69">
        <f t="shared" si="167"/>
        <v>0.43788359600042126</v>
      </c>
      <c r="P73" s="71">
        <f t="shared" si="168"/>
        <v>2014.901837928154</v>
      </c>
      <c r="Q73" s="69">
        <f t="shared" si="169"/>
        <v>0.45460831668099294</v>
      </c>
      <c r="R73" s="74" t="s">
        <v>218</v>
      </c>
      <c r="S73" s="59" t="s">
        <v>57</v>
      </c>
      <c r="T73" s="76">
        <v>80</v>
      </c>
      <c r="U73" s="69">
        <f t="shared" si="170"/>
        <v>0.75471698113207553</v>
      </c>
      <c r="V73" s="73">
        <v>859427.15789473685</v>
      </c>
      <c r="W73" s="69">
        <f t="shared" si="171"/>
        <v>0.73405139913747575</v>
      </c>
      <c r="X73" s="71">
        <f t="shared" si="172"/>
        <v>1534.6913533834586</v>
      </c>
      <c r="Y73" s="69">
        <f t="shared" si="173"/>
        <v>0.97261810385715541</v>
      </c>
      <c r="Z73" s="74" t="s">
        <v>218</v>
      </c>
      <c r="AA73" s="59" t="s">
        <v>57</v>
      </c>
      <c r="AB73" s="76">
        <v>23</v>
      </c>
      <c r="AC73" s="69">
        <f t="shared" si="174"/>
        <v>0.67647058823529416</v>
      </c>
      <c r="AD73" s="73">
        <v>486034.73684210528</v>
      </c>
      <c r="AE73" s="69">
        <f t="shared" si="175"/>
        <v>0.57432992922249904</v>
      </c>
      <c r="AF73" s="71">
        <f t="shared" si="176"/>
        <v>3018.8492971559335</v>
      </c>
      <c r="AG73" s="69">
        <f t="shared" si="177"/>
        <v>0.84900946058978133</v>
      </c>
      <c r="AH73" s="74" t="s">
        <v>218</v>
      </c>
      <c r="AI73" s="59" t="s">
        <v>57</v>
      </c>
      <c r="AJ73" s="76">
        <v>6.8571428571428568</v>
      </c>
      <c r="AK73" s="69">
        <f t="shared" si="178"/>
        <v>0.52747252747252749</v>
      </c>
      <c r="AL73" s="73">
        <v>36027.610526315795</v>
      </c>
      <c r="AM73" s="69">
        <f t="shared" si="179"/>
        <v>0.58500053560920706</v>
      </c>
      <c r="AN73" s="71">
        <f t="shared" si="180"/>
        <v>750.57521929824577</v>
      </c>
      <c r="AO73" s="69">
        <f t="shared" si="181"/>
        <v>1.1090635154257884</v>
      </c>
      <c r="AP73" s="74" t="s">
        <v>218</v>
      </c>
      <c r="AQ73" s="59" t="s">
        <v>57</v>
      </c>
      <c r="AR73" s="76">
        <v>4.2857142857142856</v>
      </c>
      <c r="AS73" s="69">
        <f t="shared" si="182"/>
        <v>0.61224489795918369</v>
      </c>
      <c r="AT73" s="73">
        <v>134152.85263157898</v>
      </c>
      <c r="AU73" s="69">
        <f t="shared" si="183"/>
        <v>0.69890923939074523</v>
      </c>
      <c r="AV73" s="71">
        <f t="shared" si="184"/>
        <v>4471.761754385966</v>
      </c>
      <c r="AW73" s="69">
        <f t="shared" si="185"/>
        <v>1.1415517576715506</v>
      </c>
    </row>
    <row r="74" spans="2:49" ht="15" x14ac:dyDescent="0.5">
      <c r="B74" s="74" t="s">
        <v>219</v>
      </c>
      <c r="C74" s="59" t="s">
        <v>66</v>
      </c>
      <c r="D74" s="75">
        <v>261.14285714285717</v>
      </c>
      <c r="E74" s="69">
        <f t="shared" si="162"/>
        <v>0.88223938223938236</v>
      </c>
      <c r="F74" s="70">
        <v>4490364.2105263164</v>
      </c>
      <c r="G74" s="69">
        <f t="shared" si="163"/>
        <v>2.2685900093335194</v>
      </c>
      <c r="H74" s="71">
        <f t="shared" si="164"/>
        <v>2456.4355637452495</v>
      </c>
      <c r="I74" s="69">
        <f t="shared" si="165"/>
        <v>2.5713996167062647</v>
      </c>
      <c r="J74" s="74" t="s">
        <v>219</v>
      </c>
      <c r="K74" s="59" t="s">
        <v>66</v>
      </c>
      <c r="L74" s="76">
        <v>278.42857142857144</v>
      </c>
      <c r="M74" s="69">
        <f t="shared" si="166"/>
        <v>0.93119923554706174</v>
      </c>
      <c r="N74" s="73">
        <v>4300634.7368421052</v>
      </c>
      <c r="O74" s="69">
        <f t="shared" si="167"/>
        <v>0.46360361484503748</v>
      </c>
      <c r="P74" s="71">
        <f t="shared" si="168"/>
        <v>2206.5852934028244</v>
      </c>
      <c r="Q74" s="69">
        <f t="shared" si="169"/>
        <v>0.49785652430511201</v>
      </c>
      <c r="R74" s="74" t="s">
        <v>219</v>
      </c>
      <c r="S74" s="59" t="s">
        <v>66</v>
      </c>
      <c r="T74" s="76">
        <v>75.142857142857139</v>
      </c>
      <c r="U74" s="69">
        <f t="shared" si="170"/>
        <v>0.70889487870619938</v>
      </c>
      <c r="V74" s="73">
        <v>872233.47368421056</v>
      </c>
      <c r="W74" s="69">
        <f t="shared" si="171"/>
        <v>0.7449894919551231</v>
      </c>
      <c r="X74" s="71">
        <f t="shared" si="172"/>
        <v>1658.2385431258756</v>
      </c>
      <c r="Y74" s="69">
        <f t="shared" si="173"/>
        <v>1.0509167357998126</v>
      </c>
      <c r="Z74" s="74" t="s">
        <v>219</v>
      </c>
      <c r="AA74" s="59" t="s">
        <v>66</v>
      </c>
      <c r="AB74" s="76">
        <v>26.857142857142858</v>
      </c>
      <c r="AC74" s="69">
        <f t="shared" si="174"/>
        <v>0.78991596638655459</v>
      </c>
      <c r="AD74" s="73">
        <v>404038.94736842113</v>
      </c>
      <c r="AE74" s="69">
        <f t="shared" si="175"/>
        <v>0.47743842662962449</v>
      </c>
      <c r="AF74" s="71">
        <f t="shared" si="176"/>
        <v>2149.1433370660698</v>
      </c>
      <c r="AG74" s="69">
        <f t="shared" si="177"/>
        <v>0.60441673158431186</v>
      </c>
      <c r="AH74" s="74" t="s">
        <v>219</v>
      </c>
      <c r="AI74" s="59" t="s">
        <v>66</v>
      </c>
      <c r="AJ74" s="76">
        <v>10.285714285714286</v>
      </c>
      <c r="AK74" s="69">
        <f t="shared" si="178"/>
        <v>0.79120879120879128</v>
      </c>
      <c r="AL74" s="73">
        <v>20884.715789473685</v>
      </c>
      <c r="AM74" s="69">
        <f t="shared" si="179"/>
        <v>0.33911685355774679</v>
      </c>
      <c r="AN74" s="71">
        <f t="shared" si="180"/>
        <v>290.06549707602335</v>
      </c>
      <c r="AO74" s="69">
        <f t="shared" si="181"/>
        <v>0.42860602324659652</v>
      </c>
      <c r="AP74" s="74" t="s">
        <v>219</v>
      </c>
      <c r="AQ74" s="59" t="s">
        <v>66</v>
      </c>
      <c r="AR74" s="76">
        <v>5</v>
      </c>
      <c r="AS74" s="69">
        <f t="shared" si="182"/>
        <v>0.7142857142857143</v>
      </c>
      <c r="AT74" s="73">
        <v>104989.5894736842</v>
      </c>
      <c r="AU74" s="69">
        <f t="shared" si="183"/>
        <v>0.54697453452231937</v>
      </c>
      <c r="AV74" s="71">
        <f t="shared" si="184"/>
        <v>2999.702556390977</v>
      </c>
      <c r="AW74" s="69">
        <f t="shared" si="185"/>
        <v>0.76576434833124707</v>
      </c>
    </row>
    <row r="75" spans="2:49" ht="15" x14ac:dyDescent="0.5">
      <c r="B75" s="74" t="s">
        <v>220</v>
      </c>
      <c r="C75" s="59" t="s">
        <v>75</v>
      </c>
      <c r="D75" s="75">
        <v>275.71428571428572</v>
      </c>
      <c r="E75" s="69">
        <f t="shared" si="162"/>
        <v>0.93146718146718155</v>
      </c>
      <c r="F75" s="70">
        <v>4479109.4736842103</v>
      </c>
      <c r="G75" s="69">
        <f t="shared" si="163"/>
        <v>2.2629039708830465</v>
      </c>
      <c r="H75" s="71">
        <f t="shared" si="164"/>
        <v>2320.7821107172076</v>
      </c>
      <c r="I75" s="69">
        <f t="shared" si="165"/>
        <v>2.4293974236630431</v>
      </c>
      <c r="J75" s="74" t="s">
        <v>220</v>
      </c>
      <c r="K75" s="59" t="s">
        <v>75</v>
      </c>
      <c r="L75" s="76">
        <v>242.71428571428572</v>
      </c>
      <c r="M75" s="69">
        <f t="shared" si="166"/>
        <v>0.81175346392737702</v>
      </c>
      <c r="N75" s="73">
        <v>6160903.1578947371</v>
      </c>
      <c r="O75" s="69">
        <f t="shared" si="167"/>
        <v>0.66413847012905969</v>
      </c>
      <c r="P75" s="71">
        <f t="shared" si="168"/>
        <v>3626.1937362535236</v>
      </c>
      <c r="Q75" s="69">
        <f t="shared" si="169"/>
        <v>0.81815292406128415</v>
      </c>
      <c r="R75" s="74" t="s">
        <v>220</v>
      </c>
      <c r="S75" s="59" t="s">
        <v>75</v>
      </c>
      <c r="T75" s="76">
        <v>76</v>
      </c>
      <c r="U75" s="69">
        <f t="shared" si="170"/>
        <v>0.71698113207547165</v>
      </c>
      <c r="V75" s="73">
        <v>860771.36842105258</v>
      </c>
      <c r="W75" s="69">
        <f t="shared" si="171"/>
        <v>0.73519951228297431</v>
      </c>
      <c r="X75" s="71">
        <f t="shared" si="172"/>
        <v>1617.9912940245349</v>
      </c>
      <c r="Y75" s="69">
        <f t="shared" si="173"/>
        <v>1.0254098460788854</v>
      </c>
      <c r="Z75" s="74" t="s">
        <v>220</v>
      </c>
      <c r="AA75" s="59" t="s">
        <v>75</v>
      </c>
      <c r="AB75" s="76">
        <v>18.142857142857142</v>
      </c>
      <c r="AC75" s="69">
        <f t="shared" si="174"/>
        <v>0.53361344537815125</v>
      </c>
      <c r="AD75" s="73">
        <v>425392.63157894736</v>
      </c>
      <c r="AE75" s="69">
        <f t="shared" si="175"/>
        <v>0.5026713143465682</v>
      </c>
      <c r="AF75" s="71">
        <f t="shared" si="176"/>
        <v>3349.5482801491921</v>
      </c>
      <c r="AG75" s="69">
        <f t="shared" si="177"/>
        <v>0.94201395916915942</v>
      </c>
      <c r="AH75" s="74" t="s">
        <v>220</v>
      </c>
      <c r="AI75" s="59" t="s">
        <v>75</v>
      </c>
      <c r="AJ75" s="76">
        <v>11</v>
      </c>
      <c r="AK75" s="69">
        <f t="shared" si="178"/>
        <v>0.84615384615384615</v>
      </c>
      <c r="AL75" s="73">
        <v>19421.315789473687</v>
      </c>
      <c r="AM75" s="69">
        <f t="shared" si="179"/>
        <v>0.31535480630276175</v>
      </c>
      <c r="AN75" s="71">
        <f t="shared" si="180"/>
        <v>252.22488038277515</v>
      </c>
      <c r="AO75" s="69">
        <f t="shared" si="181"/>
        <v>0.37269204381235477</v>
      </c>
      <c r="AP75" s="74" t="s">
        <v>220</v>
      </c>
      <c r="AQ75" s="59" t="s">
        <v>75</v>
      </c>
      <c r="AR75" s="76">
        <v>6</v>
      </c>
      <c r="AS75" s="69">
        <f t="shared" si="182"/>
        <v>0.8571428571428571</v>
      </c>
      <c r="AT75" s="73">
        <v>135343.37894736842</v>
      </c>
      <c r="AU75" s="69">
        <f t="shared" si="183"/>
        <v>0.70511164079720767</v>
      </c>
      <c r="AV75" s="71">
        <f t="shared" si="184"/>
        <v>3222.461403508772</v>
      </c>
      <c r="AW75" s="69">
        <f t="shared" si="185"/>
        <v>0.82263024759674241</v>
      </c>
    </row>
    <row r="76" spans="2:49" ht="15" x14ac:dyDescent="0.5">
      <c r="B76" s="74" t="s">
        <v>221</v>
      </c>
      <c r="C76" s="59" t="s">
        <v>84</v>
      </c>
      <c r="D76" s="75">
        <v>250.57142857142858</v>
      </c>
      <c r="E76" s="69">
        <f t="shared" si="162"/>
        <v>0.84652509652509655</v>
      </c>
      <c r="F76" s="70">
        <v>4531761.0526315793</v>
      </c>
      <c r="G76" s="69">
        <f t="shared" si="163"/>
        <v>2.2895042287631613</v>
      </c>
      <c r="H76" s="71">
        <f t="shared" si="164"/>
        <v>2583.6722078857347</v>
      </c>
      <c r="I76" s="69">
        <f t="shared" si="165"/>
        <v>2.7045910843770065</v>
      </c>
      <c r="J76" s="74" t="s">
        <v>221</v>
      </c>
      <c r="K76" s="59" t="s">
        <v>84</v>
      </c>
      <c r="L76" s="76">
        <v>195</v>
      </c>
      <c r="M76" s="69">
        <f t="shared" si="166"/>
        <v>0.65217391304347827</v>
      </c>
      <c r="N76" s="73">
        <v>6162472.6315789474</v>
      </c>
      <c r="O76" s="69">
        <f t="shared" si="167"/>
        <v>0.664307657636934</v>
      </c>
      <c r="P76" s="71">
        <f t="shared" si="168"/>
        <v>4514.6319645267013</v>
      </c>
      <c r="Q76" s="69">
        <f t="shared" si="169"/>
        <v>1.0186050750432987</v>
      </c>
      <c r="R76" s="74" t="s">
        <v>221</v>
      </c>
      <c r="S76" s="59" t="s">
        <v>84</v>
      </c>
      <c r="T76" s="76">
        <v>73.285714285714292</v>
      </c>
      <c r="U76" s="69">
        <f t="shared" si="170"/>
        <v>0.69137466307277629</v>
      </c>
      <c r="V76" s="73">
        <v>858394.52631578944</v>
      </c>
      <c r="W76" s="69">
        <f t="shared" si="171"/>
        <v>0.73316941088709664</v>
      </c>
      <c r="X76" s="71">
        <f t="shared" si="172"/>
        <v>1673.2836770288291</v>
      </c>
      <c r="Y76" s="69">
        <f t="shared" si="173"/>
        <v>1.0604516625306544</v>
      </c>
      <c r="Z76" s="74" t="s">
        <v>221</v>
      </c>
      <c r="AA76" s="59" t="s">
        <v>84</v>
      </c>
      <c r="AB76" s="76">
        <v>18.285714285714285</v>
      </c>
      <c r="AC76" s="69">
        <f t="shared" si="174"/>
        <v>0.53781512605042014</v>
      </c>
      <c r="AD76" s="73">
        <v>702427.3684210527</v>
      </c>
      <c r="AE76" s="69">
        <f t="shared" si="175"/>
        <v>0.83003339105012852</v>
      </c>
      <c r="AF76" s="71">
        <f t="shared" si="176"/>
        <v>5487.7138157894742</v>
      </c>
      <c r="AG76" s="69">
        <f t="shared" si="177"/>
        <v>1.5433433364838327</v>
      </c>
      <c r="AH76" s="74" t="s">
        <v>221</v>
      </c>
      <c r="AI76" s="59" t="s">
        <v>84</v>
      </c>
      <c r="AJ76" s="76">
        <v>11.428571428571429</v>
      </c>
      <c r="AK76" s="69">
        <f t="shared" si="178"/>
        <v>0.87912087912087911</v>
      </c>
      <c r="AL76" s="73">
        <v>37141.915789473685</v>
      </c>
      <c r="AM76" s="69">
        <f t="shared" si="179"/>
        <v>0.6030941356636258</v>
      </c>
      <c r="AN76" s="71">
        <f t="shared" si="180"/>
        <v>464.27394736842103</v>
      </c>
      <c r="AO76" s="69">
        <f t="shared" si="181"/>
        <v>0.68601957931737423</v>
      </c>
      <c r="AP76" s="74" t="s">
        <v>221</v>
      </c>
      <c r="AQ76" s="59" t="s">
        <v>84</v>
      </c>
      <c r="AR76" s="76">
        <v>5.5714285714285712</v>
      </c>
      <c r="AS76" s="69">
        <f t="shared" si="182"/>
        <v>0.79591836734693877</v>
      </c>
      <c r="AT76" s="73">
        <v>144877.58947368423</v>
      </c>
      <c r="AU76" s="69">
        <f t="shared" si="183"/>
        <v>0.75478295002712459</v>
      </c>
      <c r="AV76" s="71">
        <f t="shared" si="184"/>
        <v>3714.8099865047238</v>
      </c>
      <c r="AW76" s="69">
        <f t="shared" si="185"/>
        <v>0.94831703977766935</v>
      </c>
    </row>
    <row r="77" spans="2:49" ht="15" x14ac:dyDescent="0.5">
      <c r="B77" s="74" t="s">
        <v>222</v>
      </c>
      <c r="C77" s="59" t="s">
        <v>93</v>
      </c>
      <c r="D77" s="75">
        <v>288.14285714285717</v>
      </c>
      <c r="E77" s="69">
        <f t="shared" si="162"/>
        <v>0.97345559845559859</v>
      </c>
      <c r="F77" s="70">
        <v>4094211.5789473685</v>
      </c>
      <c r="G77" s="69">
        <f t="shared" si="163"/>
        <v>2.0684485820380605</v>
      </c>
      <c r="H77" s="71">
        <f t="shared" si="164"/>
        <v>2029.8520470735591</v>
      </c>
      <c r="I77" s="69">
        <f t="shared" si="165"/>
        <v>2.1248514932983946</v>
      </c>
      <c r="J77" s="74" t="s">
        <v>222</v>
      </c>
      <c r="K77" s="59" t="s">
        <v>93</v>
      </c>
      <c r="L77" s="76">
        <v>163.71428571428572</v>
      </c>
      <c r="M77" s="69">
        <f t="shared" si="166"/>
        <v>0.5475394171046345</v>
      </c>
      <c r="N77" s="73">
        <v>4571069.4736842113</v>
      </c>
      <c r="O77" s="69">
        <f t="shared" si="167"/>
        <v>0.49275617702513269</v>
      </c>
      <c r="P77" s="71">
        <f t="shared" si="168"/>
        <v>3988.7168182235696</v>
      </c>
      <c r="Q77" s="69">
        <f t="shared" si="169"/>
        <v>0.89994649084956591</v>
      </c>
      <c r="R77" s="74" t="s">
        <v>222</v>
      </c>
      <c r="S77" s="59" t="s">
        <v>93</v>
      </c>
      <c r="T77" s="76">
        <v>77.714285714285708</v>
      </c>
      <c r="U77" s="69">
        <f t="shared" si="170"/>
        <v>0.73315363881401607</v>
      </c>
      <c r="V77" s="73">
        <v>851105.05263157899</v>
      </c>
      <c r="W77" s="69">
        <f t="shared" si="171"/>
        <v>0.72694334704012908</v>
      </c>
      <c r="X77" s="71">
        <f t="shared" si="172"/>
        <v>1564.5313467492263</v>
      </c>
      <c r="Y77" s="69">
        <f t="shared" si="173"/>
        <v>0.99152934467605869</v>
      </c>
      <c r="Z77" s="74" t="s">
        <v>222</v>
      </c>
      <c r="AA77" s="59" t="s">
        <v>93</v>
      </c>
      <c r="AB77" s="76">
        <v>13.428571428571429</v>
      </c>
      <c r="AC77" s="69">
        <f t="shared" si="174"/>
        <v>0.3949579831932773</v>
      </c>
      <c r="AD77" s="73">
        <v>367672.6315789473</v>
      </c>
      <c r="AE77" s="69">
        <f t="shared" si="175"/>
        <v>0.43446564713416075</v>
      </c>
      <c r="AF77" s="71">
        <f t="shared" si="176"/>
        <v>3911.4109742441201</v>
      </c>
      <c r="AG77" s="69">
        <f t="shared" si="177"/>
        <v>1.1000300427439389</v>
      </c>
      <c r="AH77" s="74" t="s">
        <v>222</v>
      </c>
      <c r="AI77" s="59" t="s">
        <v>93</v>
      </c>
      <c r="AJ77" s="76">
        <v>11.714285714285714</v>
      </c>
      <c r="AK77" s="69">
        <f t="shared" si="178"/>
        <v>0.90109890109890101</v>
      </c>
      <c r="AL77" s="73">
        <v>44603.494736842113</v>
      </c>
      <c r="AM77" s="69">
        <f t="shared" si="179"/>
        <v>0.72425198146393355</v>
      </c>
      <c r="AN77" s="71">
        <f t="shared" si="180"/>
        <v>543.94505776636731</v>
      </c>
      <c r="AO77" s="69">
        <f t="shared" si="181"/>
        <v>0.80374305260021905</v>
      </c>
      <c r="AP77" s="74" t="s">
        <v>222</v>
      </c>
      <c r="AQ77" s="59" t="s">
        <v>93</v>
      </c>
      <c r="AR77" s="76">
        <v>4.1428571428571432</v>
      </c>
      <c r="AS77" s="69">
        <f t="shared" si="182"/>
        <v>0.59183673469387765</v>
      </c>
      <c r="AT77" s="73">
        <v>106982.66315789474</v>
      </c>
      <c r="AU77" s="69">
        <f t="shared" si="183"/>
        <v>0.55735804546044898</v>
      </c>
      <c r="AV77" s="71">
        <f t="shared" si="184"/>
        <v>3689.0573502722318</v>
      </c>
      <c r="AW77" s="69">
        <f t="shared" si="185"/>
        <v>0.94174290439868957</v>
      </c>
    </row>
    <row r="78" spans="2:49" ht="15" x14ac:dyDescent="0.5">
      <c r="B78" s="74" t="s">
        <v>223</v>
      </c>
      <c r="C78" s="59" t="s">
        <v>102</v>
      </c>
      <c r="D78" s="75">
        <v>330</v>
      </c>
      <c r="E78" s="69">
        <f t="shared" si="162"/>
        <v>1.1148648648648649</v>
      </c>
      <c r="F78" s="70">
        <v>6960735.7894736854</v>
      </c>
      <c r="G78" s="69">
        <f t="shared" si="163"/>
        <v>3.5166536452862469</v>
      </c>
      <c r="H78" s="71">
        <f t="shared" si="164"/>
        <v>3013.3055365686951</v>
      </c>
      <c r="I78" s="69">
        <f t="shared" si="165"/>
        <v>3.1543317545597853</v>
      </c>
      <c r="J78" s="74" t="s">
        <v>223</v>
      </c>
      <c r="K78" s="59" t="s">
        <v>102</v>
      </c>
      <c r="L78" s="76">
        <v>163.14285714285714</v>
      </c>
      <c r="M78" s="69">
        <f t="shared" si="166"/>
        <v>0.5456282847587195</v>
      </c>
      <c r="N78" s="73">
        <v>6525104.2105263164</v>
      </c>
      <c r="O78" s="69">
        <f t="shared" si="167"/>
        <v>0.70339893628395755</v>
      </c>
      <c r="P78" s="71">
        <f t="shared" si="168"/>
        <v>5713.7514978339022</v>
      </c>
      <c r="Q78" s="69">
        <f t="shared" si="169"/>
        <v>1.2891540925064127</v>
      </c>
      <c r="R78" s="74" t="s">
        <v>223</v>
      </c>
      <c r="S78" s="59" t="s">
        <v>102</v>
      </c>
      <c r="T78" s="76">
        <v>71</v>
      </c>
      <c r="U78" s="69">
        <f t="shared" si="170"/>
        <v>0.66981132075471694</v>
      </c>
      <c r="V78" s="73">
        <v>850465.05263157899</v>
      </c>
      <c r="W78" s="69">
        <f t="shared" si="171"/>
        <v>0.72639671212042423</v>
      </c>
      <c r="X78" s="71">
        <f t="shared" si="172"/>
        <v>1711.1972889971407</v>
      </c>
      <c r="Y78" s="69">
        <f t="shared" si="173"/>
        <v>1.0844795983769715</v>
      </c>
      <c r="Z78" s="74" t="s">
        <v>223</v>
      </c>
      <c r="AA78" s="59" t="s">
        <v>102</v>
      </c>
      <c r="AB78" s="76">
        <v>17.714285714285715</v>
      </c>
      <c r="AC78" s="69">
        <f t="shared" si="174"/>
        <v>0.52100840336134457</v>
      </c>
      <c r="AD78" s="73">
        <v>240158.94736842107</v>
      </c>
      <c r="AE78" s="69">
        <f t="shared" si="175"/>
        <v>0.28378727030998951</v>
      </c>
      <c r="AF78" s="71">
        <f t="shared" si="176"/>
        <v>1936.7657045840408</v>
      </c>
      <c r="AG78" s="69">
        <f t="shared" si="177"/>
        <v>0.54468847043368951</v>
      </c>
      <c r="AH78" s="74" t="s">
        <v>223</v>
      </c>
      <c r="AI78" s="59" t="s">
        <v>102</v>
      </c>
      <c r="AJ78" s="76">
        <v>8</v>
      </c>
      <c r="AK78" s="69">
        <f t="shared" si="178"/>
        <v>0.61538461538461542</v>
      </c>
      <c r="AL78" s="73">
        <v>42883.873684210528</v>
      </c>
      <c r="AM78" s="69">
        <f t="shared" si="179"/>
        <v>0.69632952915198953</v>
      </c>
      <c r="AN78" s="71">
        <f t="shared" si="180"/>
        <v>765.78345864661662</v>
      </c>
      <c r="AO78" s="69">
        <f t="shared" si="181"/>
        <v>1.131535484871983</v>
      </c>
      <c r="AP78" s="74" t="s">
        <v>223</v>
      </c>
      <c r="AQ78" s="59" t="s">
        <v>102</v>
      </c>
      <c r="AR78" s="76">
        <v>3.2857142857142856</v>
      </c>
      <c r="AS78" s="69">
        <f t="shared" si="182"/>
        <v>0.46938775510204078</v>
      </c>
      <c r="AT78" s="73">
        <v>141368.7052631579</v>
      </c>
      <c r="AU78" s="69">
        <f t="shared" si="183"/>
        <v>0.73650237271115715</v>
      </c>
      <c r="AV78" s="71">
        <f t="shared" si="184"/>
        <v>6146.4654462242561</v>
      </c>
      <c r="AW78" s="69">
        <f t="shared" si="185"/>
        <v>1.5690702722976826</v>
      </c>
    </row>
    <row r="79" spans="2:49" ht="15" x14ac:dyDescent="0.5">
      <c r="B79" s="74" t="s">
        <v>224</v>
      </c>
      <c r="C79" s="59" t="s">
        <v>127</v>
      </c>
      <c r="D79" s="75">
        <v>244.57142857142858</v>
      </c>
      <c r="E79" s="69">
        <f t="shared" si="162"/>
        <v>0.82625482625482627</v>
      </c>
      <c r="F79" s="70">
        <v>5706422.1052631587</v>
      </c>
      <c r="G79" s="69">
        <f t="shared" si="163"/>
        <v>2.8829581677791349</v>
      </c>
      <c r="H79" s="71">
        <f t="shared" si="164"/>
        <v>3333.1904820462373</v>
      </c>
      <c r="I79" s="69">
        <f t="shared" si="165"/>
        <v>3.4891876890411022</v>
      </c>
      <c r="J79" s="74" t="s">
        <v>224</v>
      </c>
      <c r="K79" s="59" t="s">
        <v>127</v>
      </c>
      <c r="L79" s="76">
        <v>244.57142857142858</v>
      </c>
      <c r="M79" s="69">
        <f t="shared" si="166"/>
        <v>0.81796464405160063</v>
      </c>
      <c r="N79" s="73">
        <v>5092066.3157894742</v>
      </c>
      <c r="O79" s="69">
        <f t="shared" si="167"/>
        <v>0.54891905392646323</v>
      </c>
      <c r="P79" s="71">
        <f t="shared" si="168"/>
        <v>2974.3378012788985</v>
      </c>
      <c r="Q79" s="69">
        <f t="shared" si="169"/>
        <v>0.67107919384818193</v>
      </c>
      <c r="R79" s="74" t="s">
        <v>224</v>
      </c>
      <c r="S79" s="59" t="s">
        <v>127</v>
      </c>
      <c r="T79" s="76">
        <v>79</v>
      </c>
      <c r="U79" s="69">
        <f t="shared" si="170"/>
        <v>0.74528301886792447</v>
      </c>
      <c r="V79" s="73">
        <v>912000.84210526315</v>
      </c>
      <c r="W79" s="69">
        <f t="shared" si="171"/>
        <v>0.77895547983593028</v>
      </c>
      <c r="X79" s="71">
        <f t="shared" si="172"/>
        <v>1649.1877795755211</v>
      </c>
      <c r="Y79" s="69">
        <f t="shared" si="173"/>
        <v>1.0451807704127674</v>
      </c>
      <c r="Z79" s="74" t="s">
        <v>224</v>
      </c>
      <c r="AA79" s="59" t="s">
        <v>127</v>
      </c>
      <c r="AB79" s="76">
        <v>26.428571428571427</v>
      </c>
      <c r="AC79" s="69">
        <f t="shared" si="174"/>
        <v>0.7773109243697478</v>
      </c>
      <c r="AD79" s="73">
        <v>493656.84210526326</v>
      </c>
      <c r="AE79" s="69">
        <f t="shared" si="175"/>
        <v>0.58333669940678345</v>
      </c>
      <c r="AF79" s="71">
        <f t="shared" si="176"/>
        <v>2668.4153627311525</v>
      </c>
      <c r="AG79" s="69">
        <f t="shared" si="177"/>
        <v>0.75045478085845652</v>
      </c>
      <c r="AH79" s="74" t="s">
        <v>224</v>
      </c>
      <c r="AI79" s="59" t="s">
        <v>127</v>
      </c>
      <c r="AJ79" s="76">
        <v>10.571428571428571</v>
      </c>
      <c r="AK79" s="69">
        <f t="shared" si="178"/>
        <v>0.81318681318681318</v>
      </c>
      <c r="AL79" s="73">
        <v>59384.378947368416</v>
      </c>
      <c r="AM79" s="69">
        <f t="shared" si="179"/>
        <v>0.96425749539108185</v>
      </c>
      <c r="AN79" s="71">
        <f t="shared" si="180"/>
        <v>802.49160739687045</v>
      </c>
      <c r="AO79" s="69">
        <f t="shared" si="181"/>
        <v>1.185776109197141</v>
      </c>
      <c r="AP79" s="74" t="s">
        <v>224</v>
      </c>
      <c r="AQ79" s="59" t="s">
        <v>127</v>
      </c>
      <c r="AR79" s="76">
        <v>6.1428571428571432</v>
      </c>
      <c r="AS79" s="69">
        <f t="shared" si="182"/>
        <v>0.87755102040816335</v>
      </c>
      <c r="AT79" s="73">
        <v>152192.47368421053</v>
      </c>
      <c r="AU79" s="69">
        <f t="shared" si="183"/>
        <v>0.7928920178517983</v>
      </c>
      <c r="AV79" s="71">
        <f t="shared" si="184"/>
        <v>3539.3598531211746</v>
      </c>
      <c r="AW79" s="69">
        <f t="shared" si="185"/>
        <v>0.90352811336600269</v>
      </c>
    </row>
    <row r="80" spans="2:49" ht="15" x14ac:dyDescent="0.5">
      <c r="B80" s="74" t="s">
        <v>225</v>
      </c>
      <c r="C80" s="59" t="s">
        <v>136</v>
      </c>
      <c r="D80" s="75">
        <v>283</v>
      </c>
      <c r="E80" s="69">
        <f t="shared" si="162"/>
        <v>0.95608108108108103</v>
      </c>
      <c r="F80" s="70">
        <v>4087198.9473684216</v>
      </c>
      <c r="G80" s="69">
        <f t="shared" si="163"/>
        <v>2.0649057099695005</v>
      </c>
      <c r="H80" s="71">
        <f t="shared" si="164"/>
        <v>2063.1998724727014</v>
      </c>
      <c r="I80" s="69">
        <f t="shared" si="165"/>
        <v>2.1597600358691595</v>
      </c>
      <c r="J80" s="74" t="s">
        <v>225</v>
      </c>
      <c r="K80" s="59" t="s">
        <v>136</v>
      </c>
      <c r="L80" s="76">
        <v>196.14285714285714</v>
      </c>
      <c r="M80" s="69">
        <f t="shared" si="166"/>
        <v>0.65599617773530816</v>
      </c>
      <c r="N80" s="73">
        <v>3728489.4736842113</v>
      </c>
      <c r="O80" s="69">
        <f t="shared" si="167"/>
        <v>0.40192699535811188</v>
      </c>
      <c r="P80" s="71">
        <f t="shared" si="168"/>
        <v>2715.5786407022665</v>
      </c>
      <c r="Q80" s="69">
        <f t="shared" si="169"/>
        <v>0.61269716044029743</v>
      </c>
      <c r="R80" s="74" t="s">
        <v>225</v>
      </c>
      <c r="S80" s="59" t="s">
        <v>136</v>
      </c>
      <c r="T80" s="76">
        <v>77.571428571428569</v>
      </c>
      <c r="U80" s="69">
        <f t="shared" si="170"/>
        <v>0.7318059299191374</v>
      </c>
      <c r="V80" s="73">
        <v>961399.78947368427</v>
      </c>
      <c r="W80" s="69">
        <f t="shared" si="171"/>
        <v>0.82114796363005926</v>
      </c>
      <c r="X80" s="71">
        <f t="shared" si="172"/>
        <v>1770.5336822719785</v>
      </c>
      <c r="Y80" s="69">
        <f t="shared" si="173"/>
        <v>1.1220843259917201</v>
      </c>
      <c r="Z80" s="74" t="s">
        <v>225</v>
      </c>
      <c r="AA80" s="59" t="s">
        <v>136</v>
      </c>
      <c r="AB80" s="76">
        <v>24.285714285714285</v>
      </c>
      <c r="AC80" s="69">
        <f t="shared" si="174"/>
        <v>0.7142857142857143</v>
      </c>
      <c r="AD80" s="73">
        <v>604091.57894736843</v>
      </c>
      <c r="AE80" s="69">
        <f t="shared" si="175"/>
        <v>0.71383349271486407</v>
      </c>
      <c r="AF80" s="71">
        <f t="shared" si="176"/>
        <v>3553.4798761609909</v>
      </c>
      <c r="AG80" s="69">
        <f t="shared" si="177"/>
        <v>0.99936688980080979</v>
      </c>
      <c r="AH80" s="74" t="s">
        <v>225</v>
      </c>
      <c r="AI80" s="59" t="s">
        <v>136</v>
      </c>
      <c r="AJ80" s="76">
        <v>8.8571428571428577</v>
      </c>
      <c r="AK80" s="69">
        <f t="shared" si="178"/>
        <v>0.68131868131868134</v>
      </c>
      <c r="AL80" s="73">
        <v>67221.30526315789</v>
      </c>
      <c r="AM80" s="69">
        <f t="shared" si="179"/>
        <v>1.0915100671073765</v>
      </c>
      <c r="AN80" s="71">
        <f t="shared" si="180"/>
        <v>1084.2146010186757</v>
      </c>
      <c r="AO80" s="69">
        <f t="shared" si="181"/>
        <v>1.6020550984963107</v>
      </c>
      <c r="AP80" s="74" t="s">
        <v>225</v>
      </c>
      <c r="AQ80" s="59" t="s">
        <v>136</v>
      </c>
      <c r="AR80" s="76">
        <v>5.5714285714285712</v>
      </c>
      <c r="AS80" s="69">
        <f t="shared" si="182"/>
        <v>0.79591836734693877</v>
      </c>
      <c r="AT80" s="73">
        <v>151023.95789473687</v>
      </c>
      <c r="AU80" s="69">
        <f t="shared" si="183"/>
        <v>0.78680428683738624</v>
      </c>
      <c r="AV80" s="71">
        <f t="shared" si="184"/>
        <v>3872.4091767881255</v>
      </c>
      <c r="AW80" s="69">
        <f t="shared" si="185"/>
        <v>0.98854897577004963</v>
      </c>
    </row>
    <row r="81" spans="2:49" ht="15" x14ac:dyDescent="0.5">
      <c r="B81" s="74" t="s">
        <v>226</v>
      </c>
      <c r="C81" s="59" t="s">
        <v>145</v>
      </c>
      <c r="D81" s="75">
        <v>302.14285714285717</v>
      </c>
      <c r="E81" s="69">
        <f t="shared" si="162"/>
        <v>1.0207528957528957</v>
      </c>
      <c r="F81" s="70">
        <v>3494332.6315789474</v>
      </c>
      <c r="G81" s="69">
        <f t="shared" si="163"/>
        <v>1.765381988103579</v>
      </c>
      <c r="H81" s="71">
        <f t="shared" si="164"/>
        <v>1652.1667288789349</v>
      </c>
      <c r="I81" s="69">
        <f t="shared" si="165"/>
        <v>1.7294900611586834</v>
      </c>
      <c r="J81" s="74" t="s">
        <v>226</v>
      </c>
      <c r="K81" s="59" t="s">
        <v>145</v>
      </c>
      <c r="L81" s="76">
        <v>218.42857142857142</v>
      </c>
      <c r="M81" s="69">
        <f t="shared" si="166"/>
        <v>0.73053033922599131</v>
      </c>
      <c r="N81" s="73">
        <v>6196225.2631578958</v>
      </c>
      <c r="O81" s="69">
        <f t="shared" si="167"/>
        <v>0.66794615357254161</v>
      </c>
      <c r="P81" s="71">
        <f t="shared" si="168"/>
        <v>4052.4691060548698</v>
      </c>
      <c r="Q81" s="69">
        <f t="shared" si="169"/>
        <v>0.91433047706169379</v>
      </c>
      <c r="R81" s="74" t="s">
        <v>226</v>
      </c>
      <c r="S81" s="59" t="s">
        <v>145</v>
      </c>
      <c r="T81" s="76">
        <v>75.428571428571431</v>
      </c>
      <c r="U81" s="69">
        <f t="shared" si="170"/>
        <v>0.71159029649595684</v>
      </c>
      <c r="V81" s="73">
        <v>954440.84210526315</v>
      </c>
      <c r="W81" s="69">
        <f t="shared" si="171"/>
        <v>0.81520420794886028</v>
      </c>
      <c r="X81" s="71">
        <f t="shared" si="172"/>
        <v>1807.6531100478467</v>
      </c>
      <c r="Y81" s="69">
        <f t="shared" si="173"/>
        <v>1.1456089437463151</v>
      </c>
      <c r="Z81" s="74" t="s">
        <v>226</v>
      </c>
      <c r="AA81" s="59" t="s">
        <v>145</v>
      </c>
      <c r="AB81" s="76">
        <v>25.571428571428573</v>
      </c>
      <c r="AC81" s="69">
        <f t="shared" si="174"/>
        <v>0.75210084033613445</v>
      </c>
      <c r="AD81" s="73">
        <v>478068.42105263157</v>
      </c>
      <c r="AE81" s="69">
        <f t="shared" si="175"/>
        <v>0.56491641772482426</v>
      </c>
      <c r="AF81" s="71">
        <f t="shared" si="176"/>
        <v>2670.7733019700086</v>
      </c>
      <c r="AG81" s="69">
        <f t="shared" si="177"/>
        <v>0.75111791853915177</v>
      </c>
      <c r="AH81" s="74" t="s">
        <v>226</v>
      </c>
      <c r="AI81" s="59" t="s">
        <v>145</v>
      </c>
      <c r="AJ81" s="76">
        <v>9.8571428571428577</v>
      </c>
      <c r="AK81" s="69">
        <f t="shared" si="178"/>
        <v>0.75824175824175832</v>
      </c>
      <c r="AL81" s="73">
        <v>61186.11578947369</v>
      </c>
      <c r="AM81" s="69">
        <f t="shared" si="179"/>
        <v>0.99351330787102787</v>
      </c>
      <c r="AN81" s="71">
        <f t="shared" si="180"/>
        <v>886.75530129672006</v>
      </c>
      <c r="AO81" s="69">
        <f t="shared" si="181"/>
        <v>1.3102856669023699</v>
      </c>
      <c r="AP81" s="74" t="s">
        <v>226</v>
      </c>
      <c r="AQ81" s="59" t="s">
        <v>145</v>
      </c>
      <c r="AR81" s="76">
        <v>7.1428571428571432</v>
      </c>
      <c r="AS81" s="69">
        <f t="shared" si="182"/>
        <v>1.0204081632653061</v>
      </c>
      <c r="AT81" s="73">
        <v>122264.49473684211</v>
      </c>
      <c r="AU81" s="69">
        <f t="shared" si="183"/>
        <v>0.63697329832929039</v>
      </c>
      <c r="AV81" s="71">
        <f t="shared" si="184"/>
        <v>2445.2898947368421</v>
      </c>
      <c r="AW81" s="69">
        <f t="shared" si="185"/>
        <v>0.62423383236270458</v>
      </c>
    </row>
    <row r="82" spans="2:49" ht="15" x14ac:dyDescent="0.5">
      <c r="B82" s="74" t="s">
        <v>227</v>
      </c>
      <c r="C82" s="59" t="s">
        <v>154</v>
      </c>
      <c r="D82" s="75">
        <v>334</v>
      </c>
      <c r="E82" s="69">
        <f t="shared" si="162"/>
        <v>1.1283783783783783</v>
      </c>
      <c r="F82" s="70">
        <v>4008454.1663157903</v>
      </c>
      <c r="G82" s="69">
        <f t="shared" si="163"/>
        <v>2.0251228292926085</v>
      </c>
      <c r="H82" s="71">
        <f t="shared" si="164"/>
        <v>1714.4799684840848</v>
      </c>
      <c r="I82" s="69">
        <f t="shared" si="165"/>
        <v>1.7947196331455453</v>
      </c>
      <c r="J82" s="74" t="s">
        <v>227</v>
      </c>
      <c r="K82" s="59" t="s">
        <v>154</v>
      </c>
      <c r="L82" s="76">
        <v>210.71428571428572</v>
      </c>
      <c r="M82" s="69">
        <f t="shared" si="166"/>
        <v>0.70473005255613952</v>
      </c>
      <c r="N82" s="73">
        <v>5352506.4273684211</v>
      </c>
      <c r="O82" s="69">
        <f t="shared" si="167"/>
        <v>0.57699420668107793</v>
      </c>
      <c r="P82" s="71">
        <f t="shared" si="168"/>
        <v>3628.8179168599463</v>
      </c>
      <c r="Q82" s="69">
        <f t="shared" si="169"/>
        <v>0.81874499971762449</v>
      </c>
      <c r="R82" s="74" t="s">
        <v>227</v>
      </c>
      <c r="S82" s="59" t="s">
        <v>154</v>
      </c>
      <c r="T82" s="76">
        <v>73.714285714285708</v>
      </c>
      <c r="U82" s="69">
        <f t="shared" si="170"/>
        <v>0.69541778975741231</v>
      </c>
      <c r="V82" s="73">
        <v>917762.94736842101</v>
      </c>
      <c r="W82" s="69">
        <f t="shared" si="171"/>
        <v>0.78387699225445739</v>
      </c>
      <c r="X82" s="71">
        <f t="shared" si="172"/>
        <v>1778.6103631170949</v>
      </c>
      <c r="Y82" s="69">
        <f t="shared" si="173"/>
        <v>1.127202961730247</v>
      </c>
      <c r="Z82" s="74" t="s">
        <v>227</v>
      </c>
      <c r="AA82" s="59" t="s">
        <v>154</v>
      </c>
      <c r="AB82" s="76">
        <v>25.428571428571427</v>
      </c>
      <c r="AC82" s="69">
        <f t="shared" si="174"/>
        <v>0.74789915966386555</v>
      </c>
      <c r="AD82" s="73">
        <v>476062.10526315792</v>
      </c>
      <c r="AE82" s="69">
        <f t="shared" si="175"/>
        <v>0.56254562584922074</v>
      </c>
      <c r="AF82" s="71">
        <f t="shared" si="176"/>
        <v>2674.506209343584</v>
      </c>
      <c r="AG82" s="69">
        <f t="shared" si="177"/>
        <v>0.75216774692199184</v>
      </c>
      <c r="AH82" s="74" t="s">
        <v>227</v>
      </c>
      <c r="AI82" s="59" t="s">
        <v>154</v>
      </c>
      <c r="AJ82" s="76">
        <v>6.8571428571428568</v>
      </c>
      <c r="AK82" s="69">
        <f t="shared" si="178"/>
        <v>0.52747252747252749</v>
      </c>
      <c r="AL82" s="73">
        <v>47033.810526315792</v>
      </c>
      <c r="AM82" s="69">
        <f t="shared" si="179"/>
        <v>0.76371438315452389</v>
      </c>
      <c r="AN82" s="71">
        <f t="shared" si="180"/>
        <v>979.871052631579</v>
      </c>
      <c r="AO82" s="69">
        <f t="shared" si="181"/>
        <v>1.4478751847304516</v>
      </c>
      <c r="AP82" s="74" t="s">
        <v>227</v>
      </c>
      <c r="AQ82" s="59" t="s">
        <v>154</v>
      </c>
      <c r="AR82" s="76">
        <v>5.7142857142857144</v>
      </c>
      <c r="AS82" s="69">
        <f t="shared" si="182"/>
        <v>0.81632653061224492</v>
      </c>
      <c r="AT82" s="73">
        <v>120981.57894736841</v>
      </c>
      <c r="AU82" s="69">
        <f t="shared" si="183"/>
        <v>0.63028956644409628</v>
      </c>
      <c r="AV82" s="71">
        <f t="shared" si="184"/>
        <v>3024.5394736842104</v>
      </c>
      <c r="AW82" s="69">
        <f t="shared" si="185"/>
        <v>0.77210471889401799</v>
      </c>
    </row>
    <row r="83" spans="2:49" ht="15" x14ac:dyDescent="0.5">
      <c r="B83" s="74" t="s">
        <v>228</v>
      </c>
      <c r="C83" s="59" t="s">
        <v>163</v>
      </c>
      <c r="D83" s="75">
        <v>367.85714285714283</v>
      </c>
      <c r="E83" s="69">
        <f t="shared" si="162"/>
        <v>1.2427606177606176</v>
      </c>
      <c r="F83" s="70">
        <v>4501348.2263157889</v>
      </c>
      <c r="G83" s="69">
        <f t="shared" si="163"/>
        <v>2.2741392760108075</v>
      </c>
      <c r="H83" s="71">
        <f t="shared" si="164"/>
        <v>1748.0963985692385</v>
      </c>
      <c r="I83" s="69">
        <f t="shared" si="165"/>
        <v>1.8299093514152982</v>
      </c>
      <c r="J83" s="74" t="s">
        <v>228</v>
      </c>
      <c r="K83" s="59" t="s">
        <v>163</v>
      </c>
      <c r="L83" s="76">
        <v>205.28571428571428</v>
      </c>
      <c r="M83" s="69">
        <f t="shared" si="166"/>
        <v>0.6865742952699474</v>
      </c>
      <c r="N83" s="73">
        <v>5357444.3589473674</v>
      </c>
      <c r="O83" s="69">
        <f t="shared" si="167"/>
        <v>0.57752651018275547</v>
      </c>
      <c r="P83" s="71">
        <f t="shared" si="168"/>
        <v>3728.2145852104159</v>
      </c>
      <c r="Q83" s="69">
        <f t="shared" si="169"/>
        <v>0.8411711801061289</v>
      </c>
      <c r="R83" s="74" t="s">
        <v>228</v>
      </c>
      <c r="S83" s="59" t="s">
        <v>163</v>
      </c>
      <c r="T83" s="76">
        <v>75.714285714285708</v>
      </c>
      <c r="U83" s="69">
        <f t="shared" si="170"/>
        <v>0.71428571428571419</v>
      </c>
      <c r="V83" s="73">
        <v>970532.39999999979</v>
      </c>
      <c r="W83" s="69">
        <f t="shared" si="171"/>
        <v>0.82894828210154126</v>
      </c>
      <c r="X83" s="71">
        <f t="shared" si="172"/>
        <v>1831.1932075471698</v>
      </c>
      <c r="Y83" s="69">
        <f t="shared" si="173"/>
        <v>1.1605275949421581</v>
      </c>
      <c r="Z83" s="74" t="s">
        <v>228</v>
      </c>
      <c r="AA83" s="59" t="s">
        <v>163</v>
      </c>
      <c r="AB83" s="76">
        <v>22.714285714285715</v>
      </c>
      <c r="AC83" s="69">
        <f t="shared" si="174"/>
        <v>0.66806722689075637</v>
      </c>
      <c r="AD83" s="73">
        <v>525637.89473684214</v>
      </c>
      <c r="AE83" s="69">
        <f t="shared" si="175"/>
        <v>0.62112756969250682</v>
      </c>
      <c r="AF83" s="71">
        <f t="shared" si="176"/>
        <v>3305.8987090367427</v>
      </c>
      <c r="AG83" s="69">
        <f t="shared" si="177"/>
        <v>0.92973812318752591</v>
      </c>
      <c r="AH83" s="74" t="s">
        <v>228</v>
      </c>
      <c r="AI83" s="59" t="s">
        <v>163</v>
      </c>
      <c r="AJ83" s="76">
        <v>10.142857142857142</v>
      </c>
      <c r="AK83" s="69">
        <f t="shared" si="178"/>
        <v>0.78021978021978022</v>
      </c>
      <c r="AL83" s="73">
        <v>45363.063157894736</v>
      </c>
      <c r="AM83" s="69">
        <f t="shared" si="179"/>
        <v>0.73658552028752711</v>
      </c>
      <c r="AN83" s="71">
        <f t="shared" si="180"/>
        <v>638.91638250555968</v>
      </c>
      <c r="AO83" s="69">
        <f t="shared" si="181"/>
        <v>0.94407439924176006</v>
      </c>
      <c r="AP83" s="74" t="s">
        <v>228</v>
      </c>
      <c r="AQ83" s="59" t="s">
        <v>163</v>
      </c>
      <c r="AR83" s="76">
        <v>5.4285714285714288</v>
      </c>
      <c r="AS83" s="69">
        <f t="shared" si="182"/>
        <v>0.77551020408163274</v>
      </c>
      <c r="AT83" s="73">
        <v>134446.78947368421</v>
      </c>
      <c r="AU83" s="69">
        <f t="shared" si="183"/>
        <v>0.70044059091040967</v>
      </c>
      <c r="AV83" s="71">
        <f t="shared" si="184"/>
        <v>3538.073407202216</v>
      </c>
      <c r="AW83" s="69">
        <f t="shared" si="185"/>
        <v>0.90319970933184401</v>
      </c>
    </row>
    <row r="84" spans="2:49" ht="15" x14ac:dyDescent="0.5">
      <c r="B84" s="74" t="s">
        <v>229</v>
      </c>
      <c r="C84" s="59" t="s">
        <v>172</v>
      </c>
      <c r="D84" s="75">
        <v>375.14285714285717</v>
      </c>
      <c r="E84" s="69">
        <f t="shared" si="162"/>
        <v>1.2673745173745175</v>
      </c>
      <c r="F84" s="70">
        <v>5133045.2631578948</v>
      </c>
      <c r="G84" s="69">
        <f t="shared" si="163"/>
        <v>2.5932807797993429</v>
      </c>
      <c r="H84" s="71">
        <f t="shared" si="164"/>
        <v>1954.7011664729225</v>
      </c>
      <c r="I84" s="69">
        <f t="shared" si="165"/>
        <v>2.0461834637259093</v>
      </c>
      <c r="J84" s="74" t="s">
        <v>229</v>
      </c>
      <c r="K84" s="59" t="s">
        <v>172</v>
      </c>
      <c r="L84" s="76">
        <v>221.71428571428572</v>
      </c>
      <c r="M84" s="69">
        <f t="shared" si="166"/>
        <v>0.74151935021500237</v>
      </c>
      <c r="N84" s="73">
        <v>5642946.3157894742</v>
      </c>
      <c r="O84" s="69">
        <f t="shared" si="167"/>
        <v>0.60830330182782377</v>
      </c>
      <c r="P84" s="71">
        <f t="shared" si="168"/>
        <v>3635.919017905589</v>
      </c>
      <c r="Q84" s="69">
        <f t="shared" si="169"/>
        <v>0.82034717185930106</v>
      </c>
      <c r="R84" s="74" t="s">
        <v>229</v>
      </c>
      <c r="S84" s="59" t="s">
        <v>172</v>
      </c>
      <c r="T84" s="76">
        <v>68.428571428571431</v>
      </c>
      <c r="U84" s="69">
        <f t="shared" si="170"/>
        <v>0.64555256064690025</v>
      </c>
      <c r="V84" s="73">
        <v>866704</v>
      </c>
      <c r="W84" s="69">
        <f t="shared" si="171"/>
        <v>0.74026667413734393</v>
      </c>
      <c r="X84" s="71">
        <f t="shared" si="172"/>
        <v>1809.4029227557412</v>
      </c>
      <c r="Y84" s="69">
        <f t="shared" si="173"/>
        <v>1.1467178960540905</v>
      </c>
      <c r="Z84" s="74" t="s">
        <v>229</v>
      </c>
      <c r="AA84" s="59" t="s">
        <v>172</v>
      </c>
      <c r="AB84" s="76">
        <v>24.857142857142858</v>
      </c>
      <c r="AC84" s="69">
        <f t="shared" si="174"/>
        <v>0.73109243697478998</v>
      </c>
      <c r="AD84" s="73">
        <v>514604.21052631584</v>
      </c>
      <c r="AE84" s="69">
        <f t="shared" si="175"/>
        <v>0.60808945823391447</v>
      </c>
      <c r="AF84" s="71">
        <f t="shared" si="176"/>
        <v>2957.4954627949182</v>
      </c>
      <c r="AG84" s="69">
        <f t="shared" si="177"/>
        <v>0.83175454631995194</v>
      </c>
      <c r="AH84" s="74" t="s">
        <v>229</v>
      </c>
      <c r="AI84" s="59" t="s">
        <v>172</v>
      </c>
      <c r="AJ84" s="76">
        <v>9.1428571428571423</v>
      </c>
      <c r="AK84" s="69">
        <f t="shared" si="178"/>
        <v>0.70329670329670324</v>
      </c>
      <c r="AL84" s="73">
        <v>43605.26315789474</v>
      </c>
      <c r="AM84" s="69">
        <f t="shared" si="179"/>
        <v>0.70804313497605198</v>
      </c>
      <c r="AN84" s="71">
        <f t="shared" si="180"/>
        <v>681.33223684210543</v>
      </c>
      <c r="AO84" s="69">
        <f t="shared" si="181"/>
        <v>1.0067488325440741</v>
      </c>
      <c r="AP84" s="74" t="s">
        <v>229</v>
      </c>
      <c r="AQ84" s="59" t="s">
        <v>172</v>
      </c>
      <c r="AR84" s="76">
        <v>7.1428571428571432</v>
      </c>
      <c r="AS84" s="69">
        <f t="shared" si="182"/>
        <v>1.0204081632653061</v>
      </c>
      <c r="AT84" s="73">
        <v>154860</v>
      </c>
      <c r="AU84" s="69">
        <f t="shared" si="183"/>
        <v>0.80678929064064664</v>
      </c>
      <c r="AV84" s="71">
        <f t="shared" si="184"/>
        <v>3097.2</v>
      </c>
      <c r="AW84" s="69">
        <f t="shared" si="185"/>
        <v>0.7906535048278337</v>
      </c>
    </row>
    <row r="85" spans="2:49" ht="15" x14ac:dyDescent="0.5">
      <c r="B85" s="74" t="s">
        <v>230</v>
      </c>
      <c r="C85" s="59" t="s">
        <v>181</v>
      </c>
      <c r="D85" s="75">
        <v>396</v>
      </c>
      <c r="E85" s="69">
        <f t="shared" si="162"/>
        <v>1.3378378378378379</v>
      </c>
      <c r="F85" s="70">
        <v>5560481.0526315793</v>
      </c>
      <c r="G85" s="69">
        <f t="shared" si="163"/>
        <v>2.8092268626044903</v>
      </c>
      <c r="H85" s="71">
        <f>F85/D85/7</f>
        <v>2005.9455456823878</v>
      </c>
      <c r="I85" s="69">
        <f t="shared" si="165"/>
        <v>2.0998261397245686</v>
      </c>
      <c r="J85" s="74" t="s">
        <v>230</v>
      </c>
      <c r="K85" s="59" t="s">
        <v>181</v>
      </c>
      <c r="L85" s="76">
        <v>256.28571428571428</v>
      </c>
      <c r="M85" s="69">
        <f t="shared" si="166"/>
        <v>0.8571428571428571</v>
      </c>
      <c r="N85" s="73">
        <v>5890243.1578947371</v>
      </c>
      <c r="O85" s="69">
        <f t="shared" si="167"/>
        <v>0.63496162483247554</v>
      </c>
      <c r="P85" s="71">
        <f>N85/L85/7</f>
        <v>3283.3016487707569</v>
      </c>
      <c r="Q85" s="69">
        <f t="shared" si="169"/>
        <v>0.74078856230455492</v>
      </c>
      <c r="R85" s="74" t="s">
        <v>230</v>
      </c>
      <c r="S85" s="59" t="s">
        <v>181</v>
      </c>
      <c r="T85" s="76">
        <v>83.285714285714292</v>
      </c>
      <c r="U85" s="69">
        <f t="shared" si="170"/>
        <v>0.78571428571428581</v>
      </c>
      <c r="V85" s="73">
        <v>841572.42105263157</v>
      </c>
      <c r="W85" s="69">
        <f t="shared" si="171"/>
        <v>0.71880136376241943</v>
      </c>
      <c r="X85" s="71">
        <f>V85/T85/7</f>
        <v>1443.5204477746681</v>
      </c>
      <c r="Y85" s="69">
        <f t="shared" si="173"/>
        <v>0.91483809933398852</v>
      </c>
      <c r="Z85" s="74" t="s">
        <v>230</v>
      </c>
      <c r="AA85" s="59" t="s">
        <v>181</v>
      </c>
      <c r="AB85" s="76">
        <v>25.428571428571427</v>
      </c>
      <c r="AC85" s="69">
        <f t="shared" si="174"/>
        <v>0.74789915966386555</v>
      </c>
      <c r="AD85" s="73">
        <v>535330.52631578944</v>
      </c>
      <c r="AE85" s="69">
        <f t="shared" si="175"/>
        <v>0.63258100704327169</v>
      </c>
      <c r="AF85" s="71">
        <f>AD85/AB85/7</f>
        <v>3007.4748669426376</v>
      </c>
      <c r="AG85" s="69">
        <f t="shared" si="177"/>
        <v>0.84581055997920618</v>
      </c>
      <c r="AH85" s="74" t="s">
        <v>230</v>
      </c>
      <c r="AI85" s="59" t="s">
        <v>181</v>
      </c>
      <c r="AJ85" s="76">
        <v>8.2857142857142865</v>
      </c>
      <c r="AK85" s="69">
        <f t="shared" si="178"/>
        <v>0.63736263736263743</v>
      </c>
      <c r="AL85" s="73">
        <v>65071.578947368427</v>
      </c>
      <c r="AM85" s="69">
        <f t="shared" si="179"/>
        <v>1.05660375420518</v>
      </c>
      <c r="AN85" s="71">
        <f>AL85/AJ85/7</f>
        <v>1121.923774954628</v>
      </c>
      <c r="AO85" s="69">
        <f t="shared" si="181"/>
        <v>1.6577748557357135</v>
      </c>
      <c r="AP85" s="74" t="s">
        <v>230</v>
      </c>
      <c r="AQ85" s="59" t="s">
        <v>181</v>
      </c>
      <c r="AR85" s="76">
        <v>6.1428571428571432</v>
      </c>
      <c r="AS85" s="69">
        <f t="shared" si="182"/>
        <v>0.87755102040816335</v>
      </c>
      <c r="AT85" s="73">
        <v>128055.78947368421</v>
      </c>
      <c r="AU85" s="69">
        <f t="shared" si="183"/>
        <v>0.66714477303307285</v>
      </c>
      <c r="AV85" s="71">
        <f>AT85/AR85</f>
        <v>20846.291309669523</v>
      </c>
      <c r="AW85" s="69">
        <f t="shared" si="185"/>
        <v>5.3216431895428835</v>
      </c>
    </row>
    <row r="86" spans="2:49" ht="15" x14ac:dyDescent="0.5">
      <c r="B86" s="74" t="s">
        <v>231</v>
      </c>
      <c r="C86" s="59" t="s">
        <v>198</v>
      </c>
      <c r="D86" s="75">
        <v>403</v>
      </c>
      <c r="E86" s="69">
        <f t="shared" si="162"/>
        <v>1.3614864864864864</v>
      </c>
      <c r="F86" s="70">
        <v>5837871.578947369</v>
      </c>
      <c r="G86" s="69">
        <f t="shared" si="163"/>
        <v>2.94936814005557</v>
      </c>
      <c r="H86" s="71">
        <f t="shared" ref="H86:H91" si="186">F86/7/D86</f>
        <v>2069.4333849512118</v>
      </c>
      <c r="I86" s="69">
        <f t="shared" si="165"/>
        <v>2.1662852840110389</v>
      </c>
      <c r="J86" s="74" t="s">
        <v>231</v>
      </c>
      <c r="K86" s="59" t="s">
        <v>198</v>
      </c>
      <c r="L86" s="76">
        <v>262</v>
      </c>
      <c r="M86" s="69">
        <f t="shared" si="166"/>
        <v>0.87625418060200666</v>
      </c>
      <c r="N86" s="73">
        <v>5883081.0526315793</v>
      </c>
      <c r="O86" s="69">
        <f t="shared" si="167"/>
        <v>0.63418955789513343</v>
      </c>
      <c r="P86" s="71">
        <f t="shared" ref="P86:P91" si="187">N86/7/L86</f>
        <v>3207.7868334959539</v>
      </c>
      <c r="Q86" s="69">
        <f t="shared" si="169"/>
        <v>0.7237506786665836</v>
      </c>
      <c r="R86" s="74" t="s">
        <v>231</v>
      </c>
      <c r="S86" s="59" t="s">
        <v>198</v>
      </c>
      <c r="T86" s="76">
        <v>81</v>
      </c>
      <c r="U86" s="69">
        <f t="shared" si="170"/>
        <v>0.76415094339622647</v>
      </c>
      <c r="V86" s="73">
        <v>835957.68421052641</v>
      </c>
      <c r="W86" s="69">
        <f t="shared" si="171"/>
        <v>0.71400572122671913</v>
      </c>
      <c r="X86" s="71">
        <f t="shared" ref="X86:X91" si="188">V86/7/T86</f>
        <v>1474.3521767381417</v>
      </c>
      <c r="Y86" s="69">
        <f t="shared" si="173"/>
        <v>0.93437785740780532</v>
      </c>
      <c r="Z86" s="74" t="s">
        <v>231</v>
      </c>
      <c r="AA86" s="59" t="s">
        <v>198</v>
      </c>
      <c r="AB86" s="76">
        <v>29</v>
      </c>
      <c r="AC86" s="69">
        <f t="shared" si="174"/>
        <v>0.8529411764705882</v>
      </c>
      <c r="AD86" s="73">
        <v>537846.31578947371</v>
      </c>
      <c r="AE86" s="69">
        <f t="shared" si="175"/>
        <v>0.6355538258169825</v>
      </c>
      <c r="AF86" s="71">
        <f t="shared" ref="AF86:AF91" si="189">AD86/7/AB86</f>
        <v>2649.489240342235</v>
      </c>
      <c r="AG86" s="69">
        <f t="shared" si="177"/>
        <v>0.74513207164749684</v>
      </c>
      <c r="AH86" s="74" t="s">
        <v>231</v>
      </c>
      <c r="AI86" s="59" t="s">
        <v>198</v>
      </c>
      <c r="AJ86" s="76">
        <v>10</v>
      </c>
      <c r="AK86" s="69">
        <f t="shared" si="178"/>
        <v>0.76923076923076927</v>
      </c>
      <c r="AL86" s="73">
        <v>86051.578947368427</v>
      </c>
      <c r="AM86" s="69">
        <f t="shared" si="179"/>
        <v>1.3972677909754321</v>
      </c>
      <c r="AN86" s="71">
        <f t="shared" ref="AN86:AN91" si="190">AL86/7/AJ86</f>
        <v>1229.3082706766918</v>
      </c>
      <c r="AO86" s="69">
        <f t="shared" si="181"/>
        <v>1.8164481282680616</v>
      </c>
      <c r="AP86" s="74" t="s">
        <v>231</v>
      </c>
      <c r="AQ86" s="59" t="s">
        <v>198</v>
      </c>
      <c r="AR86" s="76">
        <v>5</v>
      </c>
      <c r="AS86" s="69">
        <f t="shared" si="182"/>
        <v>0.7142857142857143</v>
      </c>
      <c r="AT86" s="73">
        <v>137358.94736842107</v>
      </c>
      <c r="AU86" s="69">
        <f t="shared" si="183"/>
        <v>0.71561234476633306</v>
      </c>
      <c r="AV86" s="71">
        <f t="shared" ref="AV86:AV91" si="191">AT86/7/AR86</f>
        <v>3924.541353383459</v>
      </c>
      <c r="AW86" s="69">
        <f t="shared" si="185"/>
        <v>1.0018572826728664</v>
      </c>
    </row>
    <row r="87" spans="2:49" ht="15" x14ac:dyDescent="0.5">
      <c r="B87" s="74" t="s">
        <v>232</v>
      </c>
      <c r="C87" s="59" t="s">
        <v>201</v>
      </c>
      <c r="D87" s="75">
        <v>390</v>
      </c>
      <c r="E87" s="69">
        <f t="shared" si="162"/>
        <v>1.3175675675675675</v>
      </c>
      <c r="F87" s="70">
        <v>5606535.691578947</v>
      </c>
      <c r="G87" s="69">
        <f t="shared" si="163"/>
        <v>2.8324942611719699</v>
      </c>
      <c r="H87" s="71">
        <f t="shared" si="186"/>
        <v>2053.6760775014459</v>
      </c>
      <c r="I87" s="69">
        <f t="shared" si="165"/>
        <v>2.1497905161715463</v>
      </c>
      <c r="J87" s="74" t="s">
        <v>232</v>
      </c>
      <c r="K87" s="59" t="s">
        <v>201</v>
      </c>
      <c r="L87" s="76">
        <v>267</v>
      </c>
      <c r="M87" s="69">
        <f t="shared" si="166"/>
        <v>0.8929765886287625</v>
      </c>
      <c r="N87" s="73">
        <v>5867360.3810526319</v>
      </c>
      <c r="O87" s="69">
        <f t="shared" si="167"/>
        <v>0.63249488708076351</v>
      </c>
      <c r="P87" s="71">
        <f t="shared" si="187"/>
        <v>3139.3046447579623</v>
      </c>
      <c r="Q87" s="69">
        <f t="shared" si="169"/>
        <v>0.7082995177421284</v>
      </c>
      <c r="R87" s="74" t="s">
        <v>232</v>
      </c>
      <c r="S87" s="59" t="s">
        <v>201</v>
      </c>
      <c r="T87" s="76">
        <v>77</v>
      </c>
      <c r="U87" s="69">
        <f t="shared" si="170"/>
        <v>0.72641509433962259</v>
      </c>
      <c r="V87" s="73">
        <v>839271.3684210527</v>
      </c>
      <c r="W87" s="69">
        <f t="shared" si="171"/>
        <v>0.71683599544913856</v>
      </c>
      <c r="X87" s="71">
        <f t="shared" si="188"/>
        <v>1557.0897373303389</v>
      </c>
      <c r="Y87" s="69">
        <f t="shared" si="173"/>
        <v>0.98681318854037259</v>
      </c>
      <c r="Z87" s="74" t="s">
        <v>232</v>
      </c>
      <c r="AA87" s="59" t="s">
        <v>201</v>
      </c>
      <c r="AB87" s="76">
        <v>25</v>
      </c>
      <c r="AC87" s="69">
        <f t="shared" si="174"/>
        <v>0.73529411764705888</v>
      </c>
      <c r="AD87" s="73">
        <v>532015.78947368427</v>
      </c>
      <c r="AE87" s="69">
        <f t="shared" si="175"/>
        <v>0.62866410063389322</v>
      </c>
      <c r="AF87" s="71">
        <f t="shared" si="189"/>
        <v>3040.0902255639103</v>
      </c>
      <c r="AG87" s="69">
        <f t="shared" si="177"/>
        <v>0.8549831768620948</v>
      </c>
      <c r="AH87" s="74" t="s">
        <v>232</v>
      </c>
      <c r="AI87" s="59" t="s">
        <v>201</v>
      </c>
      <c r="AJ87" s="76">
        <v>10</v>
      </c>
      <c r="AK87" s="69">
        <f t="shared" si="178"/>
        <v>0.76923076923076927</v>
      </c>
      <c r="AL87" s="73">
        <v>64767.757894736846</v>
      </c>
      <c r="AM87" s="69">
        <f t="shared" si="179"/>
        <v>1.0516704412287614</v>
      </c>
      <c r="AN87" s="71">
        <f t="shared" si="190"/>
        <v>925.25368421052644</v>
      </c>
      <c r="AO87" s="69">
        <f t="shared" si="181"/>
        <v>1.3671715735973899</v>
      </c>
      <c r="AP87" s="74" t="s">
        <v>232</v>
      </c>
      <c r="AQ87" s="59" t="s">
        <v>201</v>
      </c>
      <c r="AR87" s="76">
        <v>6</v>
      </c>
      <c r="AS87" s="69">
        <f t="shared" si="182"/>
        <v>0.8571428571428571</v>
      </c>
      <c r="AT87" s="73">
        <v>146650.75789473683</v>
      </c>
      <c r="AU87" s="69">
        <f t="shared" si="183"/>
        <v>0.76402079900431308</v>
      </c>
      <c r="AV87" s="71">
        <f t="shared" si="191"/>
        <v>3491.6847117794482</v>
      </c>
      <c r="AW87" s="69">
        <f t="shared" si="185"/>
        <v>0.89135759883836529</v>
      </c>
    </row>
    <row r="88" spans="2:49" ht="15" x14ac:dyDescent="0.5">
      <c r="B88" s="74" t="s">
        <v>233</v>
      </c>
      <c r="C88" s="59" t="s">
        <v>203</v>
      </c>
      <c r="D88" s="75">
        <v>410</v>
      </c>
      <c r="E88" s="69">
        <f t="shared" si="162"/>
        <v>1.3851351351351351</v>
      </c>
      <c r="F88" s="70">
        <v>5164729.4736842103</v>
      </c>
      <c r="G88" s="69">
        <f t="shared" si="163"/>
        <v>2.6092880522796289</v>
      </c>
      <c r="H88" s="71">
        <f t="shared" si="186"/>
        <v>1799.5573079039061</v>
      </c>
      <c r="I88" s="69">
        <f t="shared" si="165"/>
        <v>1.8837786914018786</v>
      </c>
      <c r="J88" s="74" t="s">
        <v>233</v>
      </c>
      <c r="K88" s="59" t="s">
        <v>203</v>
      </c>
      <c r="L88" s="76">
        <v>296</v>
      </c>
      <c r="M88" s="69">
        <f t="shared" si="166"/>
        <v>0.98996655518394649</v>
      </c>
      <c r="N88" s="73">
        <v>6369369.4736842113</v>
      </c>
      <c r="O88" s="69">
        <f t="shared" si="167"/>
        <v>0.68661090582453865</v>
      </c>
      <c r="P88" s="71">
        <f t="shared" si="187"/>
        <v>3074.0200162568585</v>
      </c>
      <c r="Q88" s="69">
        <f t="shared" si="169"/>
        <v>0.69356980014032787</v>
      </c>
      <c r="R88" s="74" t="s">
        <v>233</v>
      </c>
      <c r="S88" s="59" t="s">
        <v>203</v>
      </c>
      <c r="T88" s="76">
        <v>85</v>
      </c>
      <c r="U88" s="69">
        <f t="shared" si="170"/>
        <v>0.80188679245283023</v>
      </c>
      <c r="V88" s="73">
        <v>833552.42105263169</v>
      </c>
      <c r="W88" s="69">
        <f t="shared" si="171"/>
        <v>0.71195134492486778</v>
      </c>
      <c r="X88" s="71">
        <f t="shared" si="188"/>
        <v>1400.9284387439188</v>
      </c>
      <c r="Y88" s="69">
        <f t="shared" si="173"/>
        <v>0.88784520661218813</v>
      </c>
      <c r="Z88" s="74" t="s">
        <v>233</v>
      </c>
      <c r="AA88" s="59" t="s">
        <v>203</v>
      </c>
      <c r="AB88" s="76">
        <v>27</v>
      </c>
      <c r="AC88" s="69">
        <f t="shared" si="174"/>
        <v>0.79411764705882348</v>
      </c>
      <c r="AD88" s="73">
        <v>486390.52631578944</v>
      </c>
      <c r="AE88" s="69">
        <f t="shared" si="175"/>
        <v>0.57475035296539201</v>
      </c>
      <c r="AF88" s="71">
        <f t="shared" si="189"/>
        <v>2573.49484823169</v>
      </c>
      <c r="AG88" s="69">
        <f t="shared" si="177"/>
        <v>0.72375970373419729</v>
      </c>
      <c r="AH88" s="74" t="s">
        <v>233</v>
      </c>
      <c r="AI88" s="59" t="s">
        <v>203</v>
      </c>
      <c r="AJ88" s="76">
        <v>5</v>
      </c>
      <c r="AK88" s="69">
        <f t="shared" si="178"/>
        <v>0.38461538461538464</v>
      </c>
      <c r="AL88" s="73">
        <v>40411.57894736842</v>
      </c>
      <c r="AM88" s="69">
        <f t="shared" si="179"/>
        <v>0.6561854917288017</v>
      </c>
      <c r="AN88" s="71">
        <f t="shared" si="190"/>
        <v>1154.6165413533834</v>
      </c>
      <c r="AO88" s="69">
        <f t="shared" si="181"/>
        <v>1.7060822784948841</v>
      </c>
      <c r="AP88" s="74" t="s">
        <v>233</v>
      </c>
      <c r="AQ88" s="59" t="s">
        <v>203</v>
      </c>
      <c r="AR88" s="76">
        <v>3</v>
      </c>
      <c r="AS88" s="69">
        <f t="shared" si="182"/>
        <v>0.42857142857142855</v>
      </c>
      <c r="AT88" s="73">
        <v>122561.05263157896</v>
      </c>
      <c r="AU88" s="69">
        <f t="shared" si="183"/>
        <v>0.63851830500324513</v>
      </c>
      <c r="AV88" s="71">
        <f t="shared" si="191"/>
        <v>5836.2406015037595</v>
      </c>
      <c r="AW88" s="69">
        <f t="shared" si="185"/>
        <v>1.4898760450075719</v>
      </c>
    </row>
    <row r="89" spans="2:49" ht="15" customHeight="1" x14ac:dyDescent="0.5">
      <c r="B89" s="74" t="s">
        <v>234</v>
      </c>
      <c r="C89" s="59" t="s">
        <v>205</v>
      </c>
      <c r="D89" s="75">
        <v>387</v>
      </c>
      <c r="E89" s="69">
        <f t="shared" si="162"/>
        <v>1.3074324324324325</v>
      </c>
      <c r="F89" s="70">
        <v>3473171</v>
      </c>
      <c r="G89" s="69">
        <f t="shared" si="163"/>
        <v>1.7546908584467331</v>
      </c>
      <c r="H89" s="71">
        <f t="shared" si="186"/>
        <v>1282.0860095976375</v>
      </c>
      <c r="I89" s="69">
        <f t="shared" si="165"/>
        <v>1.3420891320419457</v>
      </c>
      <c r="J89" s="74" t="s">
        <v>234</v>
      </c>
      <c r="K89" s="59" t="s">
        <v>205</v>
      </c>
      <c r="L89" s="76">
        <v>305</v>
      </c>
      <c r="M89" s="69">
        <f t="shared" si="166"/>
        <v>1.020066889632107</v>
      </c>
      <c r="N89" s="73">
        <v>7729340</v>
      </c>
      <c r="O89" s="69">
        <f t="shared" si="167"/>
        <v>0.83321420758405185</v>
      </c>
      <c r="P89" s="71">
        <f t="shared" si="187"/>
        <v>3620.2997658079626</v>
      </c>
      <c r="Q89" s="69">
        <f t="shared" si="169"/>
        <v>0.81682310841846395</v>
      </c>
      <c r="R89" s="74" t="s">
        <v>234</v>
      </c>
      <c r="S89" s="59" t="s">
        <v>205</v>
      </c>
      <c r="T89" s="76">
        <v>105</v>
      </c>
      <c r="U89" s="69">
        <f t="shared" si="170"/>
        <v>0.99056603773584906</v>
      </c>
      <c r="V89" s="73">
        <v>892149</v>
      </c>
      <c r="W89" s="69">
        <f t="shared" si="171"/>
        <v>0.76199968278092323</v>
      </c>
      <c r="X89" s="71">
        <f t="shared" si="188"/>
        <v>1213.8081632653061</v>
      </c>
      <c r="Y89" s="69">
        <f t="shared" si="173"/>
        <v>0.76925682261693207</v>
      </c>
      <c r="Z89" s="74" t="s">
        <v>234</v>
      </c>
      <c r="AA89" s="59" t="s">
        <v>205</v>
      </c>
      <c r="AB89" s="76">
        <v>26</v>
      </c>
      <c r="AC89" s="69">
        <f t="shared" si="174"/>
        <v>0.76470588235294112</v>
      </c>
      <c r="AD89" s="73">
        <v>491487</v>
      </c>
      <c r="AE89" s="69">
        <f t="shared" si="175"/>
        <v>0.58077267431088853</v>
      </c>
      <c r="AF89" s="71">
        <f t="shared" si="189"/>
        <v>2700.4780219780218</v>
      </c>
      <c r="AG89" s="69">
        <f t="shared" si="177"/>
        <v>0.75947195871423878</v>
      </c>
      <c r="AH89" s="74" t="s">
        <v>234</v>
      </c>
      <c r="AI89" s="59" t="s">
        <v>205</v>
      </c>
      <c r="AJ89" s="76">
        <v>15</v>
      </c>
      <c r="AK89" s="69">
        <f t="shared" si="178"/>
        <v>1.1538461538461537</v>
      </c>
      <c r="AL89" s="73">
        <v>45061</v>
      </c>
      <c r="AM89" s="69">
        <f t="shared" si="179"/>
        <v>0.73168075123471532</v>
      </c>
      <c r="AN89" s="71">
        <f t="shared" si="190"/>
        <v>429.15238095238095</v>
      </c>
      <c r="AO89" s="69">
        <f t="shared" si="181"/>
        <v>0.63412331773675323</v>
      </c>
      <c r="AP89" s="74" t="s">
        <v>234</v>
      </c>
      <c r="AQ89" s="59" t="s">
        <v>205</v>
      </c>
      <c r="AR89" s="76">
        <v>6</v>
      </c>
      <c r="AS89" s="69">
        <f t="shared" si="182"/>
        <v>0.8571428571428571</v>
      </c>
      <c r="AT89" s="73">
        <v>106783</v>
      </c>
      <c r="AU89" s="69">
        <f t="shared" si="183"/>
        <v>0.55631784077541113</v>
      </c>
      <c r="AV89" s="71">
        <f t="shared" si="191"/>
        <v>2542.4523809523812</v>
      </c>
      <c r="AW89" s="69">
        <f t="shared" si="185"/>
        <v>0.64903748090464641</v>
      </c>
    </row>
    <row r="90" spans="2:49" ht="15" customHeight="1" x14ac:dyDescent="0.5">
      <c r="B90" s="74" t="s">
        <v>235</v>
      </c>
      <c r="C90" s="59" t="s">
        <v>236</v>
      </c>
      <c r="D90" s="75">
        <v>507.85714285714283</v>
      </c>
      <c r="E90" s="69">
        <f t="shared" ref="E90" si="192">D90/$D$68</f>
        <v>1.7157335907335907</v>
      </c>
      <c r="F90" s="70">
        <v>8544673.5126315802</v>
      </c>
      <c r="G90" s="69">
        <f t="shared" ref="G90" si="193">F90/$F$68</f>
        <v>4.316879445620895</v>
      </c>
      <c r="H90" s="71">
        <f t="shared" si="186"/>
        <v>2403.5649824561406</v>
      </c>
      <c r="I90" s="69">
        <f t="shared" ref="I90" si="194">H90/$H$68</f>
        <v>2.5160546304715878</v>
      </c>
      <c r="J90" s="74" t="s">
        <v>235</v>
      </c>
      <c r="K90" s="59" t="s">
        <v>236</v>
      </c>
      <c r="L90" s="76">
        <v>270.14285714285717</v>
      </c>
      <c r="M90" s="69">
        <f t="shared" ref="M90" si="195">L90/$L$68</f>
        <v>0.90348781653129484</v>
      </c>
      <c r="N90" s="73">
        <v>6816488.6305263164</v>
      </c>
      <c r="O90" s="69">
        <f t="shared" ref="O90" si="196">N90/$N$68</f>
        <v>0.73480985087855932</v>
      </c>
      <c r="P90" s="71">
        <f t="shared" si="187"/>
        <v>3604.7004920816053</v>
      </c>
      <c r="Q90" s="69">
        <f t="shared" ref="Q90" si="197">P90/$P$68</f>
        <v>0.81330355255887066</v>
      </c>
      <c r="R90" s="74" t="s">
        <v>235</v>
      </c>
      <c r="S90" s="59" t="s">
        <v>236</v>
      </c>
      <c r="T90" s="76">
        <v>88.857142857142861</v>
      </c>
      <c r="U90" s="69">
        <f t="shared" ref="U90" si="198">T90/$T$68</f>
        <v>0.83827493261455532</v>
      </c>
      <c r="V90" s="73">
        <v>901687.15789473685</v>
      </c>
      <c r="W90" s="69">
        <f t="shared" ref="W90" si="199">V90/$V$68</f>
        <v>0.77014638617923881</v>
      </c>
      <c r="X90" s="71">
        <f t="shared" si="188"/>
        <v>1449.6578101201558</v>
      </c>
      <c r="Y90" s="69">
        <f t="shared" ref="Y90" si="200">X90/$X$68</f>
        <v>0.9187276825482239</v>
      </c>
      <c r="Z90" s="74" t="s">
        <v>235</v>
      </c>
      <c r="AA90" s="59" t="s">
        <v>236</v>
      </c>
      <c r="AB90" s="76">
        <v>27.571428571428573</v>
      </c>
      <c r="AC90" s="69">
        <f t="shared" ref="AC90" si="201">AB90/$AB$68</f>
        <v>0.81092436974789917</v>
      </c>
      <c r="AD90" s="73">
        <v>617618.94736842101</v>
      </c>
      <c r="AE90" s="69">
        <f t="shared" ref="AE90" si="202">AD90/$AD$68</f>
        <v>0.72981830194538966</v>
      </c>
      <c r="AF90" s="71">
        <f t="shared" si="189"/>
        <v>3200.098172893373</v>
      </c>
      <c r="AG90" s="69">
        <f t="shared" ref="AG90" si="203">AF90/$AF$68</f>
        <v>0.89998319100001423</v>
      </c>
      <c r="AH90" s="74" t="s">
        <v>235</v>
      </c>
      <c r="AI90" s="59" t="s">
        <v>236</v>
      </c>
      <c r="AJ90" s="76">
        <v>12</v>
      </c>
      <c r="AK90" s="69">
        <f t="shared" ref="AK90" si="204">AJ90/$AJ$68</f>
        <v>0.92307692307692313</v>
      </c>
      <c r="AL90" s="73">
        <v>83616.568421052638</v>
      </c>
      <c r="AM90" s="69">
        <f t="shared" ref="AM90" si="205">AL90/$AL$68</f>
        <v>1.3577291582074249</v>
      </c>
      <c r="AN90" s="71">
        <f t="shared" si="190"/>
        <v>995.43533834586469</v>
      </c>
      <c r="AO90" s="69">
        <f t="shared" ref="AO90" si="206">AN90/$AN$68</f>
        <v>1.4708732547247101</v>
      </c>
      <c r="AP90" s="74" t="s">
        <v>235</v>
      </c>
      <c r="AQ90" s="59" t="s">
        <v>236</v>
      </c>
      <c r="AR90" s="76">
        <v>7.1428571428571432</v>
      </c>
      <c r="AS90" s="69">
        <f t="shared" ref="AS90" si="207">AR90/$AR$68</f>
        <v>1.0204081632653061</v>
      </c>
      <c r="AT90" s="73">
        <v>121843.73684210525</v>
      </c>
      <c r="AU90" s="69">
        <f t="shared" ref="AU90" si="208">AT90/$AT$68</f>
        <v>0.63478123476590287</v>
      </c>
      <c r="AV90" s="71">
        <f t="shared" si="191"/>
        <v>2436.874736842105</v>
      </c>
      <c r="AW90" s="69">
        <f t="shared" ref="AW90" si="209">AV90/$AV$68</f>
        <v>0.62208561007058483</v>
      </c>
    </row>
    <row r="91" spans="2:49" ht="15" customHeight="1" x14ac:dyDescent="0.5">
      <c r="B91" s="74" t="s">
        <v>269</v>
      </c>
      <c r="C91" s="59" t="s">
        <v>270</v>
      </c>
      <c r="D91" s="75">
        <v>423</v>
      </c>
      <c r="E91" s="69">
        <f t="shared" ref="E91" si="210">D91/$D$68</f>
        <v>1.4290540540540539</v>
      </c>
      <c r="F91" s="70">
        <v>5729508</v>
      </c>
      <c r="G91" s="69">
        <f t="shared" ref="G91" si="211">F91/$F$68</f>
        <v>2.8946214600425448</v>
      </c>
      <c r="H91" s="71">
        <f t="shared" si="186"/>
        <v>1934.9908814589664</v>
      </c>
      <c r="I91" s="69">
        <f t="shared" ref="I91" si="212">H91/$H$68</f>
        <v>2.0255507143560121</v>
      </c>
      <c r="J91" s="74" t="s">
        <v>269</v>
      </c>
      <c r="K91" s="59" t="s">
        <v>270</v>
      </c>
      <c r="L91" s="76">
        <v>247</v>
      </c>
      <c r="M91" s="69">
        <f t="shared" ref="M91" si="213">L91/$L$68</f>
        <v>0.82608695652173914</v>
      </c>
      <c r="N91" s="73">
        <v>4506735.7894736845</v>
      </c>
      <c r="O91" s="69">
        <f t="shared" ref="O91" si="214">N91/$N$68</f>
        <v>0.48582107781738187</v>
      </c>
      <c r="P91" s="71">
        <f t="shared" si="187"/>
        <v>2606.556269215549</v>
      </c>
      <c r="Q91" s="69">
        <f t="shared" ref="Q91" si="215">P91/$P$68</f>
        <v>0.58809919946314648</v>
      </c>
      <c r="R91" s="74" t="s">
        <v>269</v>
      </c>
      <c r="S91" s="59" t="s">
        <v>270</v>
      </c>
      <c r="T91" s="76">
        <v>79.714285714285708</v>
      </c>
      <c r="U91" s="69">
        <f t="shared" ref="U91" si="216">T91/$T$68</f>
        <v>0.75202156334231796</v>
      </c>
      <c r="V91" s="70">
        <v>970246.10526315798</v>
      </c>
      <c r="W91" s="69">
        <f t="shared" ref="W91" si="217">V91/$V$68</f>
        <v>0.82870375288203268</v>
      </c>
      <c r="X91" s="71">
        <f t="shared" si="188"/>
        <v>1738.792303338993</v>
      </c>
      <c r="Y91" s="69">
        <f t="shared" ref="Y91" si="218">X91/$X$68</f>
        <v>1.1019680728287964</v>
      </c>
      <c r="Z91" s="74" t="s">
        <v>269</v>
      </c>
      <c r="AA91" s="59" t="s">
        <v>270</v>
      </c>
      <c r="AB91" s="76">
        <v>24.428571428571427</v>
      </c>
      <c r="AC91" s="69">
        <f t="shared" ref="AC91" si="219">AB91/$AB$68</f>
        <v>0.71848739495798319</v>
      </c>
      <c r="AD91" s="73">
        <v>798537.89473684214</v>
      </c>
      <c r="AE91" s="69">
        <f t="shared" ref="AE91" si="220">AD91/$AD$68</f>
        <v>0.94360377520647054</v>
      </c>
      <c r="AF91" s="71">
        <f t="shared" si="189"/>
        <v>4669.812249923054</v>
      </c>
      <c r="AG91" s="69">
        <f t="shared" ref="AG91" si="221">AF91/$AF$68</f>
        <v>1.3133198742639767</v>
      </c>
      <c r="AH91" s="74" t="s">
        <v>269</v>
      </c>
      <c r="AI91" s="59" t="s">
        <v>270</v>
      </c>
      <c r="AJ91" s="76">
        <v>12.428571428571429</v>
      </c>
      <c r="AK91" s="69">
        <f t="shared" ref="AK91" si="222">AJ91/$AJ$68</f>
        <v>0.95604395604395609</v>
      </c>
      <c r="AL91" s="70">
        <v>87951.578947368427</v>
      </c>
      <c r="AM91" s="69">
        <f t="shared" ref="AM91" si="223">AL91/$AL$68</f>
        <v>1.4281191575084864</v>
      </c>
      <c r="AN91" s="71">
        <f t="shared" si="190"/>
        <v>1010.9376890502118</v>
      </c>
      <c r="AO91" s="69">
        <f t="shared" ref="AO91" si="224">AN91/$AN$68</f>
        <v>1.4937798084284168</v>
      </c>
      <c r="AP91" s="74" t="s">
        <v>269</v>
      </c>
      <c r="AQ91" s="59" t="s">
        <v>270</v>
      </c>
      <c r="AR91" s="76">
        <v>5.7142857142857144</v>
      </c>
      <c r="AS91" s="69">
        <f t="shared" ref="AS91" si="225">AR91/$AR$68</f>
        <v>0.81632653061224492</v>
      </c>
      <c r="AT91" s="73">
        <v>112056.84210526317</v>
      </c>
      <c r="AU91" s="69">
        <f t="shared" ref="AU91" si="226">AT91/$AT$68</f>
        <v>0.58379349188645369</v>
      </c>
      <c r="AV91" s="71">
        <f t="shared" si="191"/>
        <v>2801.4210526315792</v>
      </c>
      <c r="AW91" s="69">
        <f t="shared" ref="AW91" si="227">AV91/$AV$68</f>
        <v>0.71514702756090576</v>
      </c>
    </row>
    <row r="92" spans="2:49" ht="15" customHeight="1" x14ac:dyDescent="0.5">
      <c r="B92" s="74" t="s">
        <v>271</v>
      </c>
      <c r="C92" s="59" t="s">
        <v>272</v>
      </c>
      <c r="D92" s="75">
        <v>423.42857142857144</v>
      </c>
      <c r="E92" s="69">
        <f t="shared" ref="E92" si="228">D92/$D$68</f>
        <v>1.4305019305019306</v>
      </c>
      <c r="F92" s="70">
        <v>5034363.157894738</v>
      </c>
      <c r="G92" s="69">
        <f t="shared" ref="G92" si="229">F92/$F$68</f>
        <v>2.54342530536473</v>
      </c>
      <c r="H92" s="71">
        <f t="shared" ref="H92" si="230">F92/7/D92</f>
        <v>1698.503089708076</v>
      </c>
      <c r="I92" s="69">
        <f t="shared" ref="I92" si="231">H92/$H$68</f>
        <v>1.7779950177853305</v>
      </c>
      <c r="J92" s="74" t="s">
        <v>271</v>
      </c>
      <c r="K92" s="59" t="s">
        <v>272</v>
      </c>
      <c r="L92" s="76">
        <v>194</v>
      </c>
      <c r="M92" s="69">
        <f t="shared" ref="M92" si="232">L92/$L$68</f>
        <v>0.6488294314381271</v>
      </c>
      <c r="N92" s="73">
        <v>5155343.1578947371</v>
      </c>
      <c r="O92" s="69">
        <f t="shared" ref="O92" si="233">N92/$N$68</f>
        <v>0.55574022673722812</v>
      </c>
      <c r="P92" s="71">
        <f t="shared" ref="P92" si="234">N92/7/L92</f>
        <v>3796.2762576544455</v>
      </c>
      <c r="Q92" s="69">
        <f t="shared" ref="Q92" si="235">P92/$P$68</f>
        <v>0.85652746285789283</v>
      </c>
      <c r="R92" s="74" t="s">
        <v>271</v>
      </c>
      <c r="S92" s="59" t="s">
        <v>272</v>
      </c>
      <c r="T92" s="76">
        <v>79</v>
      </c>
      <c r="U92" s="69">
        <f t="shared" ref="U92" si="236">T92/$T$68</f>
        <v>0.74528301886792447</v>
      </c>
      <c r="V92" s="70">
        <v>888942.94736842089</v>
      </c>
      <c r="W92" s="69">
        <f t="shared" ref="W92" si="237">V92/$V$68</f>
        <v>0.7592613385264968</v>
      </c>
      <c r="X92" s="71">
        <f t="shared" ref="X92" si="238">V92/7/T92</f>
        <v>1607.4917673931661</v>
      </c>
      <c r="Y92" s="69">
        <f t="shared" ref="Y92" si="239">X92/$X$68</f>
        <v>1.0187557200482111</v>
      </c>
      <c r="Z92" s="74" t="s">
        <v>271</v>
      </c>
      <c r="AA92" s="59" t="s">
        <v>272</v>
      </c>
      <c r="AB92" s="76">
        <v>24.857142857142858</v>
      </c>
      <c r="AC92" s="69">
        <f t="shared" ref="AC92" si="240">AB92/$AB$68</f>
        <v>0.73109243697478998</v>
      </c>
      <c r="AD92" s="73">
        <v>517710.52631578944</v>
      </c>
      <c r="AE92" s="69">
        <f t="shared" ref="AE92" si="241">AD92/$AD$68</f>
        <v>0.6117600809122492</v>
      </c>
      <c r="AF92" s="71">
        <f t="shared" ref="AF92" si="242">AD92/7/AB92</f>
        <v>2975.3478523895942</v>
      </c>
      <c r="AG92" s="69">
        <f t="shared" ref="AG92" si="243">AF92/$AF$68</f>
        <v>0.83677528308686966</v>
      </c>
      <c r="AH92" s="74" t="s">
        <v>271</v>
      </c>
      <c r="AI92" s="59" t="s">
        <v>272</v>
      </c>
      <c r="AJ92" s="76">
        <v>7.4285714285714288</v>
      </c>
      <c r="AK92" s="69">
        <f t="shared" ref="AK92" si="244">AJ92/$AJ$68</f>
        <v>0.5714285714285714</v>
      </c>
      <c r="AL92" s="70">
        <v>51735.789473684221</v>
      </c>
      <c r="AM92" s="69">
        <f t="shared" ref="AM92" si="245">AL92/$AL$68</f>
        <v>0.84006305469977027</v>
      </c>
      <c r="AN92" s="71">
        <f t="shared" ref="AN92" si="246">AL92/7/AJ92</f>
        <v>994.91902834008113</v>
      </c>
      <c r="AO92" s="69">
        <f t="shared" ref="AO92" si="247">AN92/$AN$68</f>
        <v>1.4701103457245979</v>
      </c>
      <c r="AP92" s="74" t="s">
        <v>271</v>
      </c>
      <c r="AQ92" s="59" t="s">
        <v>272</v>
      </c>
      <c r="AR92" s="76">
        <v>6.8571428571428568</v>
      </c>
      <c r="AS92" s="69">
        <f t="shared" ref="AS92" si="248">AR92/$AR$68</f>
        <v>0.97959183673469385</v>
      </c>
      <c r="AT92" s="73">
        <v>128049.47368421052</v>
      </c>
      <c r="AU92" s="69">
        <f t="shared" ref="AU92" si="249">AT92/$AT$68</f>
        <v>0.66711186904683162</v>
      </c>
      <c r="AV92" s="71">
        <f t="shared" ref="AV92" si="250">AT92/7/AR92</f>
        <v>2667.6973684210525</v>
      </c>
      <c r="AW92" s="69">
        <f t="shared" ref="AW92" si="251">AV92/$AV$68</f>
        <v>0.68101003298530738</v>
      </c>
    </row>
    <row r="93" spans="2:49" ht="15" customHeight="1" x14ac:dyDescent="0.5">
      <c r="B93" s="74" t="s">
        <v>250</v>
      </c>
      <c r="C93" s="59" t="s">
        <v>251</v>
      </c>
      <c r="D93" s="75">
        <v>389.2857143</v>
      </c>
      <c r="E93" s="69">
        <f t="shared" ref="E93" si="252">D93/$D$68</f>
        <v>1.3151544402027027</v>
      </c>
      <c r="F93" s="70">
        <v>4896509.4736842113</v>
      </c>
      <c r="G93" s="69">
        <f t="shared" ref="G93" si="253">F93/$F$68</f>
        <v>2.4737798431956013</v>
      </c>
      <c r="H93" s="71">
        <f t="shared" ref="H93" si="254">F93/7/D93</f>
        <v>1796.8842104603755</v>
      </c>
      <c r="I93" s="69">
        <f t="shared" ref="I93" si="255">H93/$H$68</f>
        <v>1.8809804898763993</v>
      </c>
      <c r="J93" s="74" t="s">
        <v>250</v>
      </c>
      <c r="K93" s="59" t="s">
        <v>251</v>
      </c>
      <c r="L93" s="76">
        <v>231.85714290000001</v>
      </c>
      <c r="M93" s="69">
        <f t="shared" ref="M93" si="256">L93/$L$68</f>
        <v>0.77544194949832779</v>
      </c>
      <c r="N93" s="73">
        <v>5874993.6842105258</v>
      </c>
      <c r="O93" s="69">
        <f t="shared" ref="O93" si="257">N93/$N$68</f>
        <v>0.63331774862417523</v>
      </c>
      <c r="P93" s="71">
        <f t="shared" ref="P93" si="258">N93/7/L93</f>
        <v>3619.8359107360288</v>
      </c>
      <c r="Q93" s="69">
        <f t="shared" ref="Q93" si="259">P93/$P$68</f>
        <v>0.81671845201810422</v>
      </c>
      <c r="R93" s="74" t="s">
        <v>250</v>
      </c>
      <c r="S93" s="59" t="s">
        <v>251</v>
      </c>
      <c r="T93" s="76">
        <v>66</v>
      </c>
      <c r="U93" s="69">
        <f t="shared" ref="U93" si="260">T93/$T$68</f>
        <v>0.62264150943396224</v>
      </c>
      <c r="V93" s="70">
        <v>872610.31578947371</v>
      </c>
      <c r="W93" s="69">
        <f t="shared" ref="W93" si="261">V93/$V$68</f>
        <v>0.74531135922692304</v>
      </c>
      <c r="X93" s="71">
        <f t="shared" ref="X93" si="262">V93/7/T93</f>
        <v>1888.7669172932331</v>
      </c>
      <c r="Y93" s="69">
        <f t="shared" ref="Y93" si="263">X93/$X$68</f>
        <v>1.1970152133038463</v>
      </c>
      <c r="Z93" s="74" t="s">
        <v>250</v>
      </c>
      <c r="AA93" s="59" t="s">
        <v>251</v>
      </c>
      <c r="AB93" s="76">
        <v>17.428571430000002</v>
      </c>
      <c r="AC93" s="69">
        <f t="shared" ref="AC93" si="264">AB93/$AB$68</f>
        <v>0.51260504205882362</v>
      </c>
      <c r="AD93" s="73">
        <v>504410.5263157895</v>
      </c>
      <c r="AE93" s="69">
        <f t="shared" ref="AE93" si="265">AD93/$AD$68</f>
        <v>0.59604394484286227</v>
      </c>
      <c r="AF93" s="71">
        <f t="shared" ref="AF93" si="266">AD93/7/AB93</f>
        <v>4134.512510446265</v>
      </c>
      <c r="AG93" s="69">
        <f t="shared" ref="AG93" si="267">AF93/$AF$68</f>
        <v>1.162774252958799</v>
      </c>
      <c r="AH93" s="74" t="s">
        <v>250</v>
      </c>
      <c r="AI93" s="59" t="s">
        <v>251</v>
      </c>
      <c r="AJ93" s="76">
        <v>10.71428571</v>
      </c>
      <c r="AK93" s="69">
        <f t="shared" ref="AK93" si="268">AJ93/$AJ$68</f>
        <v>0.82417582384615384</v>
      </c>
      <c r="AL93" s="70">
        <v>33253.168421052629</v>
      </c>
      <c r="AM93" s="69">
        <f t="shared" ref="AM93" si="269">AL93/$AL$68</f>
        <v>0.53995036175962141</v>
      </c>
      <c r="AN93" s="71">
        <f t="shared" ref="AN93" si="270">AL93/7/AJ93</f>
        <v>443.37557912471863</v>
      </c>
      <c r="AO93" s="69">
        <f t="shared" ref="AO93" si="271">AN93/$AN$68</f>
        <v>0.65513977253039657</v>
      </c>
      <c r="AP93" s="74" t="s">
        <v>250</v>
      </c>
      <c r="AQ93" s="59" t="s">
        <v>251</v>
      </c>
      <c r="AR93" s="76">
        <v>5.1428571429999996</v>
      </c>
      <c r="AS93" s="69">
        <f t="shared" ref="AS93" si="272">AR93/$AR$68</f>
        <v>0.73469387757142857</v>
      </c>
      <c r="AT93" s="73">
        <v>115108.0421052632</v>
      </c>
      <c r="AU93" s="69">
        <f t="shared" ref="AU93" si="273">AT93/$AT$68</f>
        <v>0.59968962699947681</v>
      </c>
      <c r="AV93" s="71">
        <f t="shared" ref="AV93" si="274">AT93/7/AR93</f>
        <v>3197.4456139462714</v>
      </c>
      <c r="AW93" s="69">
        <f t="shared" ref="AW93" si="275">AV93/$AV$68</f>
        <v>0.81624421450439233</v>
      </c>
    </row>
    <row r="94" spans="2:49" ht="15" customHeight="1" x14ac:dyDescent="0.5">
      <c r="B94" s="74" t="s">
        <v>273</v>
      </c>
      <c r="C94" s="59" t="s">
        <v>274</v>
      </c>
      <c r="D94" s="75">
        <v>375.42857142857144</v>
      </c>
      <c r="E94" s="69">
        <f t="shared" ref="E94" si="276">D94/$D$68</f>
        <v>1.2683397683397684</v>
      </c>
      <c r="F94" s="70">
        <v>4173451</v>
      </c>
      <c r="G94" s="69">
        <f t="shared" ref="G94" si="277">F94/$F$68</f>
        <v>2.1084813612331144</v>
      </c>
      <c r="H94" s="71">
        <f t="shared" ref="H94" si="278">F94/7/D94</f>
        <v>1588.0711567732114</v>
      </c>
      <c r="I94" s="69">
        <f t="shared" ref="I94" si="279">H94/$H$68</f>
        <v>1.662394741428848</v>
      </c>
      <c r="J94" s="74" t="s">
        <v>273</v>
      </c>
      <c r="K94" s="59" t="s">
        <v>274</v>
      </c>
      <c r="L94" s="76">
        <v>219.42857142857142</v>
      </c>
      <c r="M94" s="69">
        <f t="shared" ref="M94" si="280">L94/$L$68</f>
        <v>0.73387482083134248</v>
      </c>
      <c r="N94" s="73">
        <v>4275691</v>
      </c>
      <c r="O94" s="69">
        <f t="shared" ref="O94" si="281">N94/$N$68</f>
        <v>0.46091470791028238</v>
      </c>
      <c r="P94" s="71">
        <f t="shared" ref="P94" si="282">N94/7/L94</f>
        <v>2783.652994791667</v>
      </c>
      <c r="Q94" s="69">
        <f t="shared" ref="Q94" si="283">P94/$P$68</f>
        <v>0.62805630446368566</v>
      </c>
      <c r="R94" s="74" t="s">
        <v>273</v>
      </c>
      <c r="S94" s="59" t="s">
        <v>274</v>
      </c>
      <c r="T94" s="76">
        <v>64.142857142857139</v>
      </c>
      <c r="U94" s="69">
        <f t="shared" ref="U94" si="284">T94/$T$68</f>
        <v>0.60512129380053903</v>
      </c>
      <c r="V94" s="70">
        <v>891279.8</v>
      </c>
      <c r="W94" s="69">
        <f t="shared" ref="W94" si="285">V94/$V$68</f>
        <v>0.76125728423059902</v>
      </c>
      <c r="X94" s="71">
        <f t="shared" ref="X94" si="286">V94/7/T94</f>
        <v>1985.0329621380849</v>
      </c>
      <c r="Y94" s="69">
        <f t="shared" ref="Y94" si="287">X94/$X$68</f>
        <v>1.2580242870804113</v>
      </c>
      <c r="Z94" s="74" t="s">
        <v>273</v>
      </c>
      <c r="AA94" s="59" t="s">
        <v>274</v>
      </c>
      <c r="AB94" s="76">
        <v>22.714285714285715</v>
      </c>
      <c r="AC94" s="69">
        <f t="shared" ref="AC94" si="288">AB94/$AB$68</f>
        <v>0.66806722689075637</v>
      </c>
      <c r="AD94" s="73">
        <v>220008.4</v>
      </c>
      <c r="AE94" s="69">
        <f t="shared" ref="AE94" si="289">AD94/$AD$68</f>
        <v>0.25997608652692683</v>
      </c>
      <c r="AF94" s="71">
        <f t="shared" ref="AF94" si="290">AD94/7/AB94</f>
        <v>1383.7006289308176</v>
      </c>
      <c r="AG94" s="69">
        <f t="shared" ref="AG94" si="291">AF94/$AF$68</f>
        <v>0.38914659492709802</v>
      </c>
      <c r="AH94" s="74" t="s">
        <v>273</v>
      </c>
      <c r="AI94" s="59" t="s">
        <v>274</v>
      </c>
      <c r="AJ94" s="76">
        <v>7.5714285714285712</v>
      </c>
      <c r="AK94" s="69">
        <f t="shared" ref="AK94" si="292">AJ94/$AJ$68</f>
        <v>0.58241758241758235</v>
      </c>
      <c r="AL94" s="70">
        <v>57260.02</v>
      </c>
      <c r="AM94" s="69">
        <f t="shared" ref="AM94" si="293">AL94/$AL$68</f>
        <v>0.92976308668948371</v>
      </c>
      <c r="AN94" s="71">
        <f t="shared" ref="AN94" si="294">AL94/7/AJ94</f>
        <v>1080.3777358490565</v>
      </c>
      <c r="AO94" s="69">
        <f t="shared" ref="AO94" si="295">AN94/$AN$68</f>
        <v>1.5963856771460945</v>
      </c>
      <c r="AP94" s="74" t="s">
        <v>273</v>
      </c>
      <c r="AQ94" s="59" t="s">
        <v>274</v>
      </c>
      <c r="AR94" s="76">
        <v>8</v>
      </c>
      <c r="AS94" s="69">
        <f t="shared" ref="AS94" si="296">AR94/$AR$68</f>
        <v>1.1428571428571428</v>
      </c>
      <c r="AT94" s="73">
        <v>125905.3</v>
      </c>
      <c r="AU94" s="69">
        <f t="shared" ref="AU94" si="297">AT94/$AT$68</f>
        <v>0.65594115765787031</v>
      </c>
      <c r="AV94" s="71">
        <f t="shared" ref="AV94" si="298">AT94/7/AR94</f>
        <v>2248.3089285714286</v>
      </c>
      <c r="AW94" s="69">
        <f t="shared" ref="AW94" si="299">AV94/$AV$68</f>
        <v>0.57394851295063654</v>
      </c>
    </row>
    <row r="95" spans="2:49" ht="15" customHeight="1" x14ac:dyDescent="0.5">
      <c r="B95" s="74" t="s">
        <v>252</v>
      </c>
      <c r="C95" s="59" t="s">
        <v>253</v>
      </c>
      <c r="D95" s="75">
        <v>415.57142857142856</v>
      </c>
      <c r="E95" s="69">
        <f t="shared" ref="E95" si="300">D95/$D$68</f>
        <v>1.403957528957529</v>
      </c>
      <c r="F95" s="70">
        <v>5886286.3157894742</v>
      </c>
      <c r="G95" s="69">
        <f t="shared" ref="G95" si="301">F95/$F$68</f>
        <v>2.9738278905691344</v>
      </c>
      <c r="H95" s="71">
        <f t="shared" ref="H95" si="302">F95/7/D95</f>
        <v>2023.4741546199637</v>
      </c>
      <c r="I95" s="69">
        <f t="shared" ref="I95" si="303">H95/$H$68</f>
        <v>2.118175108029992</v>
      </c>
      <c r="J95" s="74" t="s">
        <v>252</v>
      </c>
      <c r="K95" s="59" t="s">
        <v>253</v>
      </c>
      <c r="L95" s="76">
        <v>233.29</v>
      </c>
      <c r="M95" s="69">
        <f t="shared" ref="M95" si="304">L95/$L$68</f>
        <v>0.78023411371237461</v>
      </c>
      <c r="N95" s="73">
        <v>4852366.3157894742</v>
      </c>
      <c r="O95" s="69">
        <f t="shared" ref="O95" si="305">N95/$N$68</f>
        <v>0.52307966200452716</v>
      </c>
      <c r="P95" s="71">
        <f t="shared" ref="P95" si="306">N95/7/L95</f>
        <v>2971.3883491359461</v>
      </c>
      <c r="Q95" s="69">
        <f t="shared" ref="Q95" si="307">P95/$P$68</f>
        <v>0.67041372943269584</v>
      </c>
      <c r="R95" s="74" t="s">
        <v>252</v>
      </c>
      <c r="S95" s="59" t="s">
        <v>253</v>
      </c>
      <c r="T95" s="76">
        <v>66.857142857142861</v>
      </c>
      <c r="U95" s="69">
        <f t="shared" ref="U95" si="308">T95/$T$68</f>
        <v>0.6307277628032345</v>
      </c>
      <c r="V95" s="70">
        <v>868213.47368421056</v>
      </c>
      <c r="W95" s="69">
        <f t="shared" ref="W95" si="309">V95/$V$68</f>
        <v>0.74155594136572689</v>
      </c>
      <c r="X95" s="71">
        <f t="shared" ref="X95" si="310">V95/7/T95</f>
        <v>1855.1569950517319</v>
      </c>
      <c r="Y95" s="69">
        <f t="shared" ref="Y95" si="311">X95/$X$68</f>
        <v>1.1757147617379686</v>
      </c>
      <c r="Z95" s="74" t="s">
        <v>252</v>
      </c>
      <c r="AA95" s="59" t="s">
        <v>253</v>
      </c>
      <c r="AB95" s="76">
        <v>25.29</v>
      </c>
      <c r="AC95" s="69">
        <f t="shared" ref="AC95" si="312">AB95/$AB$68</f>
        <v>0.74382352941176466</v>
      </c>
      <c r="AD95" s="73">
        <v>418858.94736842113</v>
      </c>
      <c r="AE95" s="69">
        <f t="shared" ref="AE95" si="313">AD95/$AD$68</f>
        <v>0.49495069253551288</v>
      </c>
      <c r="AF95" s="71">
        <f t="shared" ref="AF95" si="314">AD95/7/AB95</f>
        <v>2366.0337082326223</v>
      </c>
      <c r="AG95" s="69">
        <f t="shared" ref="AG95" si="315">AF95/$AF$68</f>
        <v>0.6654141378492463</v>
      </c>
      <c r="AH95" s="74" t="s">
        <v>252</v>
      </c>
      <c r="AI95" s="59" t="s">
        <v>253</v>
      </c>
      <c r="AJ95" s="76">
        <v>11.29</v>
      </c>
      <c r="AK95" s="69">
        <f t="shared" ref="AK95" si="316">AJ95/$AJ$68</f>
        <v>0.8684615384615384</v>
      </c>
      <c r="AL95" s="70">
        <v>36842.1052631579</v>
      </c>
      <c r="AM95" s="69">
        <f t="shared" ref="AM95" si="317">AL95/$AL$68</f>
        <v>0.59822594385423833</v>
      </c>
      <c r="AN95" s="71">
        <f t="shared" ref="AN95" si="318">AL95/7/AJ95</f>
        <v>466.17873292620396</v>
      </c>
      <c r="AO95" s="69">
        <f t="shared" ref="AO95" si="319">AN95/$AN$68</f>
        <v>0.68883412489859142</v>
      </c>
      <c r="AP95" s="74" t="s">
        <v>252</v>
      </c>
      <c r="AQ95" s="59" t="s">
        <v>253</v>
      </c>
      <c r="AR95" s="76">
        <v>5.71</v>
      </c>
      <c r="AS95" s="69">
        <f t="shared" ref="AS95" si="320">AR95/$AR$68</f>
        <v>0.81571428571428573</v>
      </c>
      <c r="AT95" s="73">
        <v>117013.68421052631</v>
      </c>
      <c r="AU95" s="69">
        <f t="shared" ref="AU95" si="321">AT95/$AT$68</f>
        <v>0.60961763708807404</v>
      </c>
      <c r="AV95" s="71">
        <f t="shared" ref="AV95" si="322">AT95/7/AR95</f>
        <v>2927.5377585820943</v>
      </c>
      <c r="AW95" s="69">
        <f t="shared" ref="AW95" si="323">AV95/$AV$68</f>
        <v>0.74734211201690348</v>
      </c>
    </row>
    <row r="96" spans="2:49" ht="15" customHeight="1" x14ac:dyDescent="0.5">
      <c r="B96" s="74" t="s">
        <v>511</v>
      </c>
      <c r="C96" s="59" t="s">
        <v>513</v>
      </c>
      <c r="D96" s="75">
        <v>403.42857142857144</v>
      </c>
      <c r="E96" s="69">
        <f t="shared" ref="E96" si="324">D96/$D$68</f>
        <v>1.3629343629343631</v>
      </c>
      <c r="F96" s="70">
        <v>5696481.0526315793</v>
      </c>
      <c r="G96" s="69">
        <f t="shared" ref="G96" si="325">F96/$F$68</f>
        <v>2.8779358195630609</v>
      </c>
      <c r="H96" s="71">
        <f t="shared" ref="H96" si="326">F96/7/D96</f>
        <v>2017.1675115550918</v>
      </c>
      <c r="I96" s="69">
        <f t="shared" ref="I96" si="327">H96/$H$68</f>
        <v>2.1115733067049085</v>
      </c>
      <c r="J96" s="74" t="s">
        <v>511</v>
      </c>
      <c r="K96" s="59" t="s">
        <v>513</v>
      </c>
      <c r="L96" s="76">
        <v>245.71</v>
      </c>
      <c r="M96" s="69">
        <f t="shared" ref="M96" si="328">L96/$L$68</f>
        <v>0.82177257525083613</v>
      </c>
      <c r="N96" s="73">
        <v>5769874.7368421061</v>
      </c>
      <c r="O96" s="69">
        <f t="shared" ref="O96" si="329">N96/$N$68</f>
        <v>0.62198604366183075</v>
      </c>
      <c r="P96" s="71">
        <f t="shared" ref="P96" si="330">N96/7/L96</f>
        <v>3354.6368464811048</v>
      </c>
      <c r="Q96" s="69">
        <f t="shared" ref="Q96" si="331">P96/$P$68</f>
        <v>0.75688342784130636</v>
      </c>
      <c r="R96" s="74" t="s">
        <v>511</v>
      </c>
      <c r="S96" s="59" t="s">
        <v>513</v>
      </c>
      <c r="T96" s="76">
        <v>71.142857142857139</v>
      </c>
      <c r="U96" s="69">
        <f t="shared" ref="U96" si="332">T96/$T$68</f>
        <v>0.67115902964959562</v>
      </c>
      <c r="V96" s="70">
        <v>884260.84210526315</v>
      </c>
      <c r="W96" s="69">
        <f t="shared" ref="W96" si="333">V96/$V$68</f>
        <v>0.7552622725349718</v>
      </c>
      <c r="X96" s="71">
        <f t="shared" ref="X96" si="334">V96/7/T96</f>
        <v>1775.6241809342634</v>
      </c>
      <c r="Y96" s="69">
        <f t="shared" ref="Y96" si="335">X96/$X$68</f>
        <v>1.1253104542589341</v>
      </c>
      <c r="Z96" s="74" t="s">
        <v>511</v>
      </c>
      <c r="AA96" s="59" t="s">
        <v>513</v>
      </c>
      <c r="AB96" s="76">
        <v>24.43</v>
      </c>
      <c r="AC96" s="69">
        <f t="shared" ref="AC96" si="336">AB96/$AB$68</f>
        <v>0.71852941176470586</v>
      </c>
      <c r="AD96" s="73">
        <v>642113.68421052629</v>
      </c>
      <c r="AE96" s="69">
        <f t="shared" ref="AE96" si="337">AD96/$AD$68</f>
        <v>0.75876285962917567</v>
      </c>
      <c r="AF96" s="71">
        <f t="shared" ref="AF96" si="338">AD96/7/AB96</f>
        <v>3754.83120408471</v>
      </c>
      <c r="AG96" s="69">
        <f t="shared" ref="AG96" si="339">AF96/$AF$68</f>
        <v>1.0559941558490369</v>
      </c>
      <c r="AH96" s="74" t="s">
        <v>511</v>
      </c>
      <c r="AI96" s="59" t="s">
        <v>513</v>
      </c>
      <c r="AJ96" s="76">
        <v>11.29</v>
      </c>
      <c r="AK96" s="69">
        <f t="shared" ref="AK96" si="340">AJ96/$AJ$68</f>
        <v>0.8684615384615384</v>
      </c>
      <c r="AL96" s="70">
        <v>38455.789473684214</v>
      </c>
      <c r="AM96" s="69">
        <f t="shared" ref="AM96" si="341">AL96/$AL$68</f>
        <v>0.62442824019505394</v>
      </c>
      <c r="AN96" s="71">
        <f t="shared" ref="AN96" si="342">AL96/7/AJ96</f>
        <v>486.5973614283717</v>
      </c>
      <c r="AO96" s="69">
        <f t="shared" ref="AO96" si="343">AN96/$AN$68</f>
        <v>0.71900505956914973</v>
      </c>
      <c r="AP96" s="74" t="s">
        <v>511</v>
      </c>
      <c r="AQ96" s="59" t="s">
        <v>513</v>
      </c>
      <c r="AR96" s="76">
        <v>8.2899999999999991</v>
      </c>
      <c r="AS96" s="69">
        <f t="shared" ref="AS96" si="344">AR96/$AR$68</f>
        <v>1.1842857142857142</v>
      </c>
      <c r="AT96" s="73">
        <v>148616.84210526309</v>
      </c>
      <c r="AU96" s="69">
        <f t="shared" ref="AU96" si="345">AT96/$AT$68</f>
        <v>0.77426370024123847</v>
      </c>
      <c r="AV96" s="71">
        <f t="shared" ref="AV96" si="346">AT96/7/AR96</f>
        <v>2561.034673535466</v>
      </c>
      <c r="AW96" s="69">
        <f t="shared" ref="AW96" si="347">AV96/$AV$68</f>
        <v>0.65378117028813865</v>
      </c>
    </row>
  </sheetData>
  <mergeCells count="24">
    <mergeCell ref="Z67:AA67"/>
    <mergeCell ref="Z68:AA68"/>
    <mergeCell ref="AH67:AI67"/>
    <mergeCell ref="AH68:AI68"/>
    <mergeCell ref="AP67:AQ67"/>
    <mergeCell ref="AP68:AQ68"/>
    <mergeCell ref="B67:C67"/>
    <mergeCell ref="J67:K67"/>
    <mergeCell ref="B68:C68"/>
    <mergeCell ref="J68:K68"/>
    <mergeCell ref="R67:S67"/>
    <mergeCell ref="R68:S68"/>
    <mergeCell ref="R3:S3"/>
    <mergeCell ref="R4:S4"/>
    <mergeCell ref="B35:C35"/>
    <mergeCell ref="J35:K35"/>
    <mergeCell ref="B36:C36"/>
    <mergeCell ref="J36:K36"/>
    <mergeCell ref="B3:C3"/>
    <mergeCell ref="J3:K3"/>
    <mergeCell ref="B4:C4"/>
    <mergeCell ref="J4:K4"/>
    <mergeCell ref="R35:S35"/>
    <mergeCell ref="R36:S36"/>
  </mergeCells>
  <phoneticPr fontId="2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6A096-93C6-41D7-8F80-34FA41C4A451}">
  <sheetPr>
    <tabColor rgb="FFFF0000"/>
  </sheetPr>
  <dimension ref="B2:P60"/>
  <sheetViews>
    <sheetView showGridLines="0" zoomScale="70" zoomScaleNormal="70" workbookViewId="0">
      <pane xSplit="4" topLeftCell="E1" activePane="topRight" state="frozen"/>
      <selection pane="topRight" activeCell="D36" sqref="D36:D39"/>
    </sheetView>
  </sheetViews>
  <sheetFormatPr defaultRowHeight="21" outlineLevelRow="1" outlineLevelCol="1" x14ac:dyDescent="0.7"/>
  <cols>
    <col min="1" max="1" width="4" customWidth="1"/>
    <col min="2" max="2" width="4.6640625" style="4" customWidth="1"/>
    <col min="3" max="3" width="12.33203125" style="4" bestFit="1" customWidth="1"/>
    <col min="4" max="4" width="30.6640625" style="4" customWidth="1"/>
    <col min="5" max="5" width="47.6640625" style="4" customWidth="1"/>
    <col min="6" max="6" width="11.33203125" style="4" customWidth="1"/>
    <col min="7" max="7" width="68" style="4" customWidth="1"/>
    <col min="8" max="8" width="9.6640625" style="4" bestFit="1" customWidth="1"/>
    <col min="9" max="9" width="8.6640625" style="4" customWidth="1" outlineLevel="1"/>
    <col min="10" max="10" width="16.6640625" style="4" customWidth="1" outlineLevel="1"/>
    <col min="11" max="11" width="5.33203125" style="4" customWidth="1" outlineLevel="1"/>
    <col min="12" max="13" width="51.6640625" style="4" customWidth="1" outlineLevel="1"/>
    <col min="14" max="14" width="4.6640625" style="4" customWidth="1"/>
    <col min="15" max="15" width="15.5546875" style="4" bestFit="1" customWidth="1"/>
    <col min="16" max="16" width="8.6640625" style="4"/>
  </cols>
  <sheetData>
    <row r="2" spans="2:16" ht="21.6" x14ac:dyDescent="0.75">
      <c r="B2" s="4" t="s">
        <v>286</v>
      </c>
      <c r="L2" s="107" t="s">
        <v>287</v>
      </c>
    </row>
    <row r="3" spans="2:16" ht="22.8" x14ac:dyDescent="0.75">
      <c r="B3" s="55" t="s">
        <v>288</v>
      </c>
      <c r="C3" s="55" t="s">
        <v>289</v>
      </c>
      <c r="D3" s="125" t="s">
        <v>290</v>
      </c>
      <c r="E3" s="125" t="s">
        <v>291</v>
      </c>
      <c r="F3" s="56" t="s">
        <v>0</v>
      </c>
      <c r="G3" s="125" t="s">
        <v>292</v>
      </c>
      <c r="H3" s="125" t="s">
        <v>293</v>
      </c>
      <c r="I3" s="125" t="s">
        <v>294</v>
      </c>
      <c r="J3" s="125" t="s">
        <v>295</v>
      </c>
      <c r="K3" s="198" t="s">
        <v>296</v>
      </c>
      <c r="L3" s="199"/>
      <c r="M3" s="125" t="s">
        <v>297</v>
      </c>
      <c r="N3" s="200" t="s">
        <v>298</v>
      </c>
      <c r="O3" s="201"/>
      <c r="P3" s="58" t="s">
        <v>299</v>
      </c>
    </row>
    <row r="4" spans="2:16" ht="20.7" customHeight="1" x14ac:dyDescent="0.7">
      <c r="B4" s="202">
        <v>1</v>
      </c>
      <c r="C4" s="196" t="s">
        <v>300</v>
      </c>
      <c r="D4" s="203" t="s">
        <v>301</v>
      </c>
      <c r="E4" s="197" t="s">
        <v>302</v>
      </c>
      <c r="F4" s="197" t="s">
        <v>303</v>
      </c>
      <c r="G4" s="197" t="s">
        <v>304</v>
      </c>
      <c r="H4" s="204">
        <v>0.8</v>
      </c>
      <c r="I4" s="205">
        <v>0.1</v>
      </c>
      <c r="J4" s="197" t="s">
        <v>305</v>
      </c>
      <c r="K4" s="123" t="s">
        <v>306</v>
      </c>
      <c r="L4" s="103" t="s">
        <v>307</v>
      </c>
      <c r="M4" s="103" t="s">
        <v>307</v>
      </c>
      <c r="N4" s="196" t="s">
        <v>308</v>
      </c>
      <c r="O4" s="206" t="s">
        <v>309</v>
      </c>
      <c r="P4" s="4" t="s">
        <v>310</v>
      </c>
    </row>
    <row r="5" spans="2:16" ht="20.7" customHeight="1" x14ac:dyDescent="0.7">
      <c r="B5" s="154"/>
      <c r="C5" s="150"/>
      <c r="D5" s="195"/>
      <c r="E5" s="163"/>
      <c r="F5" s="163"/>
      <c r="G5" s="163"/>
      <c r="H5" s="192"/>
      <c r="I5" s="161"/>
      <c r="J5" s="163"/>
      <c r="K5" s="123" t="s">
        <v>311</v>
      </c>
      <c r="L5" s="118" t="s">
        <v>312</v>
      </c>
      <c r="M5" s="101" t="s">
        <v>307</v>
      </c>
      <c r="N5" s="150"/>
      <c r="O5" s="152"/>
    </row>
    <row r="6" spans="2:16" ht="20.7" customHeight="1" x14ac:dyDescent="0.7">
      <c r="B6" s="153">
        <v>2</v>
      </c>
      <c r="C6" s="149" t="s">
        <v>313</v>
      </c>
      <c r="D6" s="194" t="s">
        <v>314</v>
      </c>
      <c r="E6" s="162" t="s">
        <v>315</v>
      </c>
      <c r="F6" s="162" t="s">
        <v>303</v>
      </c>
      <c r="G6" s="162" t="s">
        <v>316</v>
      </c>
      <c r="H6" s="207">
        <v>0.5</v>
      </c>
      <c r="I6" s="209">
        <v>0.1</v>
      </c>
      <c r="J6" s="162" t="s">
        <v>317</v>
      </c>
      <c r="K6" s="123" t="s">
        <v>306</v>
      </c>
      <c r="L6" s="97" t="s">
        <v>318</v>
      </c>
      <c r="M6" s="101" t="s">
        <v>307</v>
      </c>
      <c r="N6" s="149" t="s">
        <v>319</v>
      </c>
      <c r="O6" s="191">
        <v>46082</v>
      </c>
      <c r="P6" s="4" t="s">
        <v>310</v>
      </c>
    </row>
    <row r="7" spans="2:16" ht="20.7" customHeight="1" x14ac:dyDescent="0.7">
      <c r="B7" s="154"/>
      <c r="C7" s="150"/>
      <c r="D7" s="195"/>
      <c r="E7" s="163"/>
      <c r="F7" s="163"/>
      <c r="G7" s="163"/>
      <c r="H7" s="208"/>
      <c r="I7" s="209"/>
      <c r="J7" s="163"/>
      <c r="K7" s="123" t="s">
        <v>311</v>
      </c>
      <c r="L7" s="121" t="s">
        <v>320</v>
      </c>
      <c r="M7" s="97" t="s">
        <v>307</v>
      </c>
      <c r="N7" s="150"/>
      <c r="O7" s="152"/>
    </row>
    <row r="8" spans="2:16" ht="20.7" customHeight="1" x14ac:dyDescent="0.7">
      <c r="B8" s="153">
        <v>3</v>
      </c>
      <c r="C8" s="149" t="s">
        <v>300</v>
      </c>
      <c r="D8" s="194" t="s">
        <v>321</v>
      </c>
      <c r="E8" s="162" t="s">
        <v>322</v>
      </c>
      <c r="F8" s="162" t="s">
        <v>247</v>
      </c>
      <c r="G8" s="162" t="s">
        <v>323</v>
      </c>
      <c r="H8" s="178">
        <v>0.3</v>
      </c>
      <c r="I8" s="161">
        <v>0</v>
      </c>
      <c r="J8" s="162" t="s">
        <v>324</v>
      </c>
      <c r="K8" s="123" t="s">
        <v>306</v>
      </c>
      <c r="L8" s="57" t="s">
        <v>325</v>
      </c>
      <c r="M8" s="97" t="s">
        <v>326</v>
      </c>
      <c r="N8" s="149" t="s">
        <v>308</v>
      </c>
      <c r="O8" s="151" t="s">
        <v>327</v>
      </c>
      <c r="P8" s="4" t="s">
        <v>328</v>
      </c>
    </row>
    <row r="9" spans="2:16" ht="20.7" customHeight="1" x14ac:dyDescent="0.7">
      <c r="B9" s="154"/>
      <c r="C9" s="150"/>
      <c r="D9" s="195"/>
      <c r="E9" s="163"/>
      <c r="F9" s="163"/>
      <c r="G9" s="163"/>
      <c r="H9" s="192"/>
      <c r="I9" s="161"/>
      <c r="J9" s="163"/>
      <c r="K9" s="123" t="s">
        <v>311</v>
      </c>
      <c r="L9" s="57" t="s">
        <v>329</v>
      </c>
      <c r="M9" s="97" t="s">
        <v>326</v>
      </c>
      <c r="N9" s="150"/>
      <c r="O9" s="152"/>
    </row>
    <row r="10" spans="2:16" ht="20.7" customHeight="1" x14ac:dyDescent="0.7">
      <c r="B10" s="153">
        <v>4</v>
      </c>
      <c r="C10" s="149" t="s">
        <v>300</v>
      </c>
      <c r="D10" s="194" t="s">
        <v>330</v>
      </c>
      <c r="E10" s="162" t="s">
        <v>331</v>
      </c>
      <c r="F10" s="162" t="s">
        <v>210</v>
      </c>
      <c r="G10" s="162" t="s">
        <v>332</v>
      </c>
      <c r="H10" s="178">
        <v>0.25</v>
      </c>
      <c r="I10" s="161">
        <v>0</v>
      </c>
      <c r="J10" s="162" t="s">
        <v>333</v>
      </c>
      <c r="K10" s="123" t="s">
        <v>306</v>
      </c>
      <c r="L10" s="97" t="s">
        <v>334</v>
      </c>
      <c r="M10" s="97" t="s">
        <v>335</v>
      </c>
      <c r="N10" s="149" t="s">
        <v>336</v>
      </c>
      <c r="O10" s="151" t="s">
        <v>327</v>
      </c>
      <c r="P10" s="4" t="s">
        <v>337</v>
      </c>
    </row>
    <row r="11" spans="2:16" ht="20.7" customHeight="1" x14ac:dyDescent="0.7">
      <c r="B11" s="154"/>
      <c r="C11" s="150"/>
      <c r="D11" s="195"/>
      <c r="E11" s="163"/>
      <c r="F11" s="163"/>
      <c r="G11" s="163"/>
      <c r="H11" s="192"/>
      <c r="I11" s="161"/>
      <c r="J11" s="163"/>
      <c r="K11" s="123" t="s">
        <v>311</v>
      </c>
      <c r="L11" s="97"/>
      <c r="M11" s="97"/>
      <c r="N11" s="150"/>
      <c r="O11" s="152"/>
    </row>
    <row r="12" spans="2:16" ht="20.7" customHeight="1" x14ac:dyDescent="0.7">
      <c r="B12" s="153">
        <v>5</v>
      </c>
      <c r="C12" s="149" t="s">
        <v>300</v>
      </c>
      <c r="D12" s="194" t="s">
        <v>338</v>
      </c>
      <c r="E12" s="162" t="s">
        <v>339</v>
      </c>
      <c r="F12" s="162" t="s">
        <v>340</v>
      </c>
      <c r="G12" s="162" t="s">
        <v>341</v>
      </c>
      <c r="H12" s="178">
        <v>0.25</v>
      </c>
      <c r="I12" s="161">
        <v>0</v>
      </c>
      <c r="J12" s="162" t="s">
        <v>333</v>
      </c>
      <c r="K12" s="123" t="s">
        <v>306</v>
      </c>
      <c r="L12" s="97" t="s">
        <v>334</v>
      </c>
      <c r="M12" s="97" t="s">
        <v>335</v>
      </c>
      <c r="N12" s="149" t="s">
        <v>336</v>
      </c>
      <c r="O12" s="151" t="s">
        <v>327</v>
      </c>
      <c r="P12" s="4" t="s">
        <v>337</v>
      </c>
    </row>
    <row r="13" spans="2:16" ht="20.7" customHeight="1" x14ac:dyDescent="0.7">
      <c r="B13" s="154"/>
      <c r="C13" s="150"/>
      <c r="D13" s="195"/>
      <c r="E13" s="163"/>
      <c r="F13" s="163"/>
      <c r="G13" s="163"/>
      <c r="H13" s="192"/>
      <c r="I13" s="161"/>
      <c r="J13" s="163"/>
      <c r="K13" s="123" t="s">
        <v>311</v>
      </c>
      <c r="L13" s="97"/>
      <c r="M13" s="97" t="s">
        <v>342</v>
      </c>
      <c r="N13" s="150"/>
      <c r="O13" s="152"/>
    </row>
    <row r="14" spans="2:16" ht="20.7" customHeight="1" x14ac:dyDescent="0.7">
      <c r="B14" s="153">
        <v>6</v>
      </c>
      <c r="C14" s="149" t="s">
        <v>343</v>
      </c>
      <c r="D14" s="194" t="s">
        <v>344</v>
      </c>
      <c r="E14" s="162" t="s">
        <v>345</v>
      </c>
      <c r="F14" s="162" t="s">
        <v>346</v>
      </c>
      <c r="G14" s="162" t="s">
        <v>347</v>
      </c>
      <c r="H14" s="178">
        <v>1</v>
      </c>
      <c r="I14" s="161">
        <v>0</v>
      </c>
      <c r="J14" s="162" t="s">
        <v>343</v>
      </c>
      <c r="K14" s="123" t="s">
        <v>306</v>
      </c>
      <c r="L14" s="97" t="s">
        <v>307</v>
      </c>
      <c r="M14" s="97"/>
      <c r="N14" s="149" t="s">
        <v>308</v>
      </c>
      <c r="O14" s="151" t="s">
        <v>348</v>
      </c>
      <c r="P14" s="4" t="s">
        <v>349</v>
      </c>
    </row>
    <row r="15" spans="2:16" ht="20.7" customHeight="1" x14ac:dyDescent="0.7">
      <c r="B15" s="154"/>
      <c r="C15" s="150"/>
      <c r="D15" s="195"/>
      <c r="E15" s="163"/>
      <c r="F15" s="163"/>
      <c r="G15" s="163"/>
      <c r="H15" s="192"/>
      <c r="I15" s="161"/>
      <c r="J15" s="163"/>
      <c r="K15" s="123" t="s">
        <v>311</v>
      </c>
      <c r="L15" s="97" t="s">
        <v>350</v>
      </c>
      <c r="M15" s="97" t="s">
        <v>351</v>
      </c>
      <c r="N15" s="150"/>
      <c r="O15" s="152"/>
    </row>
    <row r="16" spans="2:16" ht="20.7" customHeight="1" x14ac:dyDescent="0.7">
      <c r="B16" s="153">
        <v>7</v>
      </c>
      <c r="C16" s="149" t="s">
        <v>343</v>
      </c>
      <c r="D16" s="194" t="s">
        <v>352</v>
      </c>
      <c r="E16" s="162" t="s">
        <v>353</v>
      </c>
      <c r="F16" s="162" t="s">
        <v>249</v>
      </c>
      <c r="G16" s="162" t="s">
        <v>354</v>
      </c>
      <c r="H16" s="178">
        <v>1</v>
      </c>
      <c r="I16" s="161">
        <v>0</v>
      </c>
      <c r="J16" s="162" t="s">
        <v>343</v>
      </c>
      <c r="K16" s="123" t="s">
        <v>306</v>
      </c>
      <c r="L16" s="57" t="s">
        <v>307</v>
      </c>
      <c r="M16" s="57"/>
      <c r="N16" s="149" t="s">
        <v>308</v>
      </c>
      <c r="O16" s="151" t="s">
        <v>348</v>
      </c>
      <c r="P16" s="4" t="s">
        <v>310</v>
      </c>
    </row>
    <row r="17" spans="2:16" ht="20.7" customHeight="1" x14ac:dyDescent="0.7">
      <c r="B17" s="154"/>
      <c r="C17" s="150"/>
      <c r="D17" s="195"/>
      <c r="E17" s="163"/>
      <c r="F17" s="163"/>
      <c r="G17" s="163"/>
      <c r="H17" s="192"/>
      <c r="I17" s="161"/>
      <c r="J17" s="163"/>
      <c r="K17" s="123" t="s">
        <v>311</v>
      </c>
      <c r="L17" s="102" t="s">
        <v>355</v>
      </c>
      <c r="M17" s="102"/>
      <c r="N17" s="150"/>
      <c r="O17" s="152"/>
    </row>
    <row r="18" spans="2:16" ht="20.7" customHeight="1" x14ac:dyDescent="0.7">
      <c r="B18" s="153">
        <v>8</v>
      </c>
      <c r="C18" s="155" t="s">
        <v>300</v>
      </c>
      <c r="D18" s="190" t="s">
        <v>356</v>
      </c>
      <c r="E18" s="193" t="s">
        <v>357</v>
      </c>
      <c r="F18" s="193" t="s">
        <v>247</v>
      </c>
      <c r="G18" s="193" t="s">
        <v>358</v>
      </c>
      <c r="H18" s="160">
        <v>0.2</v>
      </c>
      <c r="I18" s="161">
        <v>0</v>
      </c>
      <c r="J18" s="162" t="s">
        <v>307</v>
      </c>
      <c r="K18" s="126" t="s">
        <v>306</v>
      </c>
      <c r="L18" s="97"/>
      <c r="M18" s="57"/>
      <c r="N18" s="149" t="s">
        <v>319</v>
      </c>
      <c r="O18" s="151" t="s">
        <v>327</v>
      </c>
      <c r="P18" s="4" t="s">
        <v>328</v>
      </c>
    </row>
    <row r="19" spans="2:16" ht="20.7" customHeight="1" x14ac:dyDescent="0.7">
      <c r="B19" s="154"/>
      <c r="C19" s="155"/>
      <c r="D19" s="190"/>
      <c r="E19" s="193"/>
      <c r="F19" s="193"/>
      <c r="G19" s="193"/>
      <c r="H19" s="160"/>
      <c r="I19" s="161"/>
      <c r="J19" s="163"/>
      <c r="K19" s="126" t="s">
        <v>311</v>
      </c>
      <c r="L19" s="97" t="s">
        <v>359</v>
      </c>
      <c r="M19" s="57"/>
      <c r="N19" s="150"/>
      <c r="O19" s="152"/>
    </row>
    <row r="20" spans="2:16" ht="20.7" customHeight="1" x14ac:dyDescent="0.7">
      <c r="B20" s="153">
        <v>9</v>
      </c>
      <c r="C20" s="155" t="s">
        <v>300</v>
      </c>
      <c r="D20" s="190" t="s">
        <v>360</v>
      </c>
      <c r="E20" s="193" t="s">
        <v>353</v>
      </c>
      <c r="F20" s="193" t="s">
        <v>346</v>
      </c>
      <c r="G20" s="193" t="s">
        <v>361</v>
      </c>
      <c r="H20" s="160">
        <v>0.3</v>
      </c>
      <c r="I20" s="161">
        <v>0</v>
      </c>
      <c r="J20" s="162" t="s">
        <v>307</v>
      </c>
      <c r="K20" s="126" t="s">
        <v>306</v>
      </c>
      <c r="L20" s="57" t="s">
        <v>362</v>
      </c>
      <c r="M20" s="57" t="s">
        <v>363</v>
      </c>
      <c r="N20" s="149" t="s">
        <v>319</v>
      </c>
      <c r="O20" s="151" t="s">
        <v>327</v>
      </c>
      <c r="P20" s="4" t="s">
        <v>310</v>
      </c>
    </row>
    <row r="21" spans="2:16" ht="20.7" customHeight="1" x14ac:dyDescent="0.7">
      <c r="B21" s="154"/>
      <c r="C21" s="155"/>
      <c r="D21" s="190"/>
      <c r="E21" s="193"/>
      <c r="F21" s="193"/>
      <c r="G21" s="193"/>
      <c r="H21" s="160"/>
      <c r="I21" s="161"/>
      <c r="J21" s="163"/>
      <c r="K21" s="126" t="s">
        <v>311</v>
      </c>
      <c r="L21" s="57" t="s">
        <v>364</v>
      </c>
      <c r="M21" s="57" t="s">
        <v>365</v>
      </c>
      <c r="N21" s="150"/>
      <c r="O21" s="152"/>
    </row>
    <row r="22" spans="2:16" ht="20.7" customHeight="1" x14ac:dyDescent="0.7">
      <c r="B22" s="153">
        <v>10</v>
      </c>
      <c r="C22" s="155" t="s">
        <v>300</v>
      </c>
      <c r="D22" s="190" t="s">
        <v>366</v>
      </c>
      <c r="E22" s="158" t="s">
        <v>367</v>
      </c>
      <c r="F22" s="158" t="s">
        <v>247</v>
      </c>
      <c r="G22" s="158" t="s">
        <v>368</v>
      </c>
      <c r="H22" s="160">
        <v>0.4</v>
      </c>
      <c r="I22" s="161">
        <v>0</v>
      </c>
      <c r="J22" s="162" t="s">
        <v>369</v>
      </c>
      <c r="K22" s="126" t="s">
        <v>306</v>
      </c>
      <c r="L22" s="97" t="s">
        <v>307</v>
      </c>
      <c r="M22" s="57" t="s">
        <v>370</v>
      </c>
      <c r="N22" s="149" t="s">
        <v>336</v>
      </c>
      <c r="O22" s="151" t="s">
        <v>327</v>
      </c>
      <c r="P22" s="4" t="s">
        <v>310</v>
      </c>
    </row>
    <row r="23" spans="2:16" ht="20.7" customHeight="1" x14ac:dyDescent="0.7">
      <c r="B23" s="154"/>
      <c r="C23" s="155"/>
      <c r="D23" s="190"/>
      <c r="E23" s="159"/>
      <c r="F23" s="159"/>
      <c r="G23" s="159"/>
      <c r="H23" s="160"/>
      <c r="I23" s="161"/>
      <c r="J23" s="163"/>
      <c r="K23" s="126" t="s">
        <v>311</v>
      </c>
      <c r="L23" s="57" t="s">
        <v>307</v>
      </c>
      <c r="M23" s="57" t="s">
        <v>371</v>
      </c>
      <c r="N23" s="150"/>
      <c r="O23" s="152"/>
    </row>
    <row r="24" spans="2:16" ht="20.7" customHeight="1" x14ac:dyDescent="0.7">
      <c r="B24" s="153">
        <v>11</v>
      </c>
      <c r="C24" s="155" t="s">
        <v>300</v>
      </c>
      <c r="D24" s="156" t="s">
        <v>372</v>
      </c>
      <c r="E24" s="158" t="s">
        <v>373</v>
      </c>
      <c r="F24" s="158" t="s">
        <v>340</v>
      </c>
      <c r="G24" s="158" t="s">
        <v>374</v>
      </c>
      <c r="H24" s="164">
        <v>0.8</v>
      </c>
      <c r="I24" s="165">
        <v>0.2</v>
      </c>
      <c r="J24" s="162" t="s">
        <v>307</v>
      </c>
      <c r="K24" s="126" t="s">
        <v>306</v>
      </c>
      <c r="L24" s="97" t="s">
        <v>307</v>
      </c>
      <c r="M24" s="57" t="s">
        <v>307</v>
      </c>
      <c r="N24" s="149" t="s">
        <v>336</v>
      </c>
      <c r="O24" s="151" t="s">
        <v>375</v>
      </c>
      <c r="P24" s="4" t="s">
        <v>310</v>
      </c>
    </row>
    <row r="25" spans="2:16" ht="20.7" customHeight="1" x14ac:dyDescent="0.7">
      <c r="B25" s="154"/>
      <c r="C25" s="155"/>
      <c r="D25" s="157"/>
      <c r="E25" s="159"/>
      <c r="F25" s="159"/>
      <c r="G25" s="159"/>
      <c r="H25" s="164"/>
      <c r="I25" s="165"/>
      <c r="J25" s="163"/>
      <c r="K25" s="126" t="s">
        <v>311</v>
      </c>
      <c r="L25" s="119" t="s">
        <v>376</v>
      </c>
      <c r="M25" s="106" t="s">
        <v>307</v>
      </c>
      <c r="N25" s="150"/>
      <c r="O25" s="152"/>
    </row>
    <row r="26" spans="2:16" ht="20.7" customHeight="1" x14ac:dyDescent="0.7">
      <c r="B26" s="153">
        <v>12</v>
      </c>
      <c r="C26" s="155" t="s">
        <v>300</v>
      </c>
      <c r="D26" s="156" t="s">
        <v>377</v>
      </c>
      <c r="E26" s="158" t="s">
        <v>378</v>
      </c>
      <c r="F26" s="158" t="s">
        <v>210</v>
      </c>
      <c r="G26" s="158" t="s">
        <v>379</v>
      </c>
      <c r="H26" s="160">
        <v>0.3</v>
      </c>
      <c r="I26" s="161">
        <v>0</v>
      </c>
      <c r="J26" s="162" t="s">
        <v>307</v>
      </c>
      <c r="K26" s="126" t="s">
        <v>306</v>
      </c>
      <c r="L26" s="97" t="s">
        <v>307</v>
      </c>
      <c r="M26" s="57" t="s">
        <v>307</v>
      </c>
      <c r="N26" s="149" t="s">
        <v>336</v>
      </c>
      <c r="O26" s="151" t="s">
        <v>375</v>
      </c>
      <c r="P26" s="4" t="s">
        <v>310</v>
      </c>
    </row>
    <row r="27" spans="2:16" ht="20.7" customHeight="1" x14ac:dyDescent="0.7">
      <c r="B27" s="154"/>
      <c r="C27" s="155"/>
      <c r="D27" s="157"/>
      <c r="E27" s="159"/>
      <c r="F27" s="159"/>
      <c r="G27" s="159"/>
      <c r="H27" s="160"/>
      <c r="I27" s="161"/>
      <c r="J27" s="163"/>
      <c r="K27" s="126" t="s">
        <v>311</v>
      </c>
      <c r="L27" s="57" t="s">
        <v>380</v>
      </c>
      <c r="M27" s="57" t="s">
        <v>380</v>
      </c>
      <c r="N27" s="150"/>
      <c r="O27" s="152"/>
    </row>
    <row r="28" spans="2:16" ht="20.7" customHeight="1" x14ac:dyDescent="0.7">
      <c r="B28" s="171">
        <v>13</v>
      </c>
      <c r="C28" s="150" t="s">
        <v>300</v>
      </c>
      <c r="D28" s="174" t="s">
        <v>381</v>
      </c>
      <c r="E28" s="176" t="s">
        <v>382</v>
      </c>
      <c r="F28" s="176" t="s">
        <v>210</v>
      </c>
      <c r="G28" s="176" t="s">
        <v>383</v>
      </c>
      <c r="H28" s="192">
        <v>0.2</v>
      </c>
      <c r="I28" s="210">
        <v>0</v>
      </c>
      <c r="J28" s="182" t="s">
        <v>384</v>
      </c>
      <c r="K28" s="123" t="s">
        <v>306</v>
      </c>
      <c r="L28" s="103" t="s">
        <v>385</v>
      </c>
      <c r="M28" s="108" t="s">
        <v>386</v>
      </c>
      <c r="N28" s="167" t="s">
        <v>336</v>
      </c>
      <c r="O28" s="169" t="s">
        <v>375</v>
      </c>
      <c r="P28" s="4" t="s">
        <v>310</v>
      </c>
    </row>
    <row r="29" spans="2:16" ht="20.7" customHeight="1" x14ac:dyDescent="0.7">
      <c r="B29" s="171"/>
      <c r="C29" s="149"/>
      <c r="D29" s="174"/>
      <c r="E29" s="176"/>
      <c r="F29" s="176"/>
      <c r="G29" s="176"/>
      <c r="H29" s="178"/>
      <c r="I29" s="180"/>
      <c r="J29" s="182"/>
      <c r="K29" s="124" t="s">
        <v>311</v>
      </c>
      <c r="L29" s="122" t="s">
        <v>387</v>
      </c>
      <c r="M29" s="108" t="s">
        <v>386</v>
      </c>
      <c r="N29" s="167"/>
      <c r="O29" s="169"/>
    </row>
    <row r="30" spans="2:16" ht="20.7" customHeight="1" x14ac:dyDescent="0.7">
      <c r="B30" s="170">
        <v>14</v>
      </c>
      <c r="C30" s="166" t="s">
        <v>300</v>
      </c>
      <c r="D30" s="173" t="s">
        <v>388</v>
      </c>
      <c r="E30" s="175" t="s">
        <v>389</v>
      </c>
      <c r="F30" s="175" t="s">
        <v>210</v>
      </c>
      <c r="G30" s="175" t="s">
        <v>390</v>
      </c>
      <c r="H30" s="185">
        <v>0.2</v>
      </c>
      <c r="I30" s="187">
        <v>0.2</v>
      </c>
      <c r="J30" s="181"/>
      <c r="K30" s="127" t="s">
        <v>306</v>
      </c>
      <c r="L30" s="104" t="s">
        <v>307</v>
      </c>
      <c r="M30" s="105" t="s">
        <v>307</v>
      </c>
      <c r="N30" s="166" t="s">
        <v>336</v>
      </c>
      <c r="O30" s="168">
        <v>45992</v>
      </c>
      <c r="P30" s="4" t="s">
        <v>349</v>
      </c>
    </row>
    <row r="31" spans="2:16" ht="20.7" customHeight="1" x14ac:dyDescent="0.7">
      <c r="B31" s="171"/>
      <c r="C31" s="167"/>
      <c r="D31" s="174"/>
      <c r="E31" s="176"/>
      <c r="F31" s="176"/>
      <c r="G31" s="176"/>
      <c r="H31" s="186"/>
      <c r="I31" s="188"/>
      <c r="J31" s="182"/>
      <c r="K31" s="124" t="s">
        <v>311</v>
      </c>
      <c r="L31" s="129" t="s">
        <v>391</v>
      </c>
      <c r="M31" s="108" t="s">
        <v>307</v>
      </c>
      <c r="N31" s="167"/>
      <c r="O31" s="189"/>
    </row>
    <row r="32" spans="2:16" ht="20.7" customHeight="1" x14ac:dyDescent="0.7">
      <c r="B32" s="170">
        <v>15</v>
      </c>
      <c r="C32" s="166" t="s">
        <v>300</v>
      </c>
      <c r="D32" s="183" t="s">
        <v>392</v>
      </c>
      <c r="E32" s="175" t="s">
        <v>393</v>
      </c>
      <c r="F32" s="175" t="s">
        <v>303</v>
      </c>
      <c r="G32" s="175" t="s">
        <v>394</v>
      </c>
      <c r="H32" s="185">
        <v>0.5</v>
      </c>
      <c r="I32" s="187">
        <v>0.3</v>
      </c>
      <c r="J32" s="181" t="s">
        <v>307</v>
      </c>
      <c r="K32" s="127" t="s">
        <v>306</v>
      </c>
      <c r="L32" s="104" t="s">
        <v>307</v>
      </c>
      <c r="M32" s="130" t="s">
        <v>395</v>
      </c>
      <c r="N32" s="166" t="s">
        <v>336</v>
      </c>
      <c r="O32" s="168">
        <v>46082</v>
      </c>
      <c r="P32" s="4" t="s">
        <v>310</v>
      </c>
    </row>
    <row r="33" spans="2:16" ht="20.7" customHeight="1" x14ac:dyDescent="0.7">
      <c r="B33" s="171"/>
      <c r="C33" s="167"/>
      <c r="D33" s="184"/>
      <c r="E33" s="176"/>
      <c r="F33" s="176"/>
      <c r="G33" s="176"/>
      <c r="H33" s="186"/>
      <c r="I33" s="188"/>
      <c r="J33" s="182"/>
      <c r="K33" s="124" t="s">
        <v>311</v>
      </c>
      <c r="L33" s="117" t="s">
        <v>396</v>
      </c>
      <c r="M33" s="120" t="s">
        <v>397</v>
      </c>
      <c r="N33" s="167"/>
      <c r="O33" s="169"/>
    </row>
    <row r="34" spans="2:16" ht="20.7" customHeight="1" outlineLevel="1" x14ac:dyDescent="0.7">
      <c r="B34" s="170">
        <v>16</v>
      </c>
      <c r="C34" s="172" t="s">
        <v>300</v>
      </c>
      <c r="D34" s="173" t="s">
        <v>398</v>
      </c>
      <c r="E34" s="175" t="s">
        <v>399</v>
      </c>
      <c r="F34" s="175" t="s">
        <v>210</v>
      </c>
      <c r="G34" s="175" t="s">
        <v>400</v>
      </c>
      <c r="H34" s="177">
        <v>0.3</v>
      </c>
      <c r="I34" s="179">
        <v>0</v>
      </c>
      <c r="J34" s="181" t="s">
        <v>307</v>
      </c>
      <c r="K34" s="127" t="s">
        <v>306</v>
      </c>
      <c r="L34" s="114" t="s">
        <v>307</v>
      </c>
      <c r="M34" s="115"/>
      <c r="N34" s="166" t="s">
        <v>336</v>
      </c>
      <c r="O34" s="168">
        <v>45992</v>
      </c>
      <c r="P34" s="4" t="s">
        <v>310</v>
      </c>
    </row>
    <row r="35" spans="2:16" ht="20.7" customHeight="1" outlineLevel="1" x14ac:dyDescent="0.7">
      <c r="B35" s="171"/>
      <c r="C35" s="149"/>
      <c r="D35" s="174"/>
      <c r="E35" s="176"/>
      <c r="F35" s="176"/>
      <c r="G35" s="176"/>
      <c r="H35" s="178"/>
      <c r="I35" s="180"/>
      <c r="J35" s="182"/>
      <c r="K35" s="124" t="s">
        <v>311</v>
      </c>
      <c r="L35" s="129" t="s">
        <v>401</v>
      </c>
      <c r="M35" s="134" t="s">
        <v>307</v>
      </c>
      <c r="N35" s="167"/>
      <c r="O35" s="169"/>
    </row>
    <row r="36" spans="2:16" ht="20.7" customHeight="1" outlineLevel="1" x14ac:dyDescent="0.7">
      <c r="B36" s="170"/>
      <c r="C36" s="172" t="s">
        <v>313</v>
      </c>
      <c r="D36" s="225" t="s">
        <v>402</v>
      </c>
      <c r="E36" s="175" t="s">
        <v>357</v>
      </c>
      <c r="F36" s="175" t="s">
        <v>247</v>
      </c>
      <c r="G36" s="175" t="s">
        <v>403</v>
      </c>
      <c r="H36" s="177">
        <v>0</v>
      </c>
      <c r="I36" s="179">
        <v>0</v>
      </c>
      <c r="J36" s="181" t="s">
        <v>307</v>
      </c>
      <c r="K36" s="127" t="s">
        <v>306</v>
      </c>
      <c r="L36" s="114" t="s">
        <v>307</v>
      </c>
      <c r="M36" s="115"/>
      <c r="N36" s="166" t="s">
        <v>336</v>
      </c>
      <c r="O36" s="168">
        <v>46082</v>
      </c>
      <c r="P36" s="4" t="s">
        <v>328</v>
      </c>
    </row>
    <row r="37" spans="2:16" ht="20.7" customHeight="1" outlineLevel="1" x14ac:dyDescent="0.7">
      <c r="B37" s="224"/>
      <c r="C37" s="223"/>
      <c r="D37" s="226"/>
      <c r="E37" s="227"/>
      <c r="F37" s="227"/>
      <c r="G37" s="227"/>
      <c r="H37" s="228"/>
      <c r="I37" s="229"/>
      <c r="J37" s="230"/>
      <c r="K37" s="136" t="s">
        <v>311</v>
      </c>
      <c r="L37" s="137" t="s">
        <v>307</v>
      </c>
      <c r="M37" s="138" t="s">
        <v>307</v>
      </c>
      <c r="N37" s="211"/>
      <c r="O37" s="212"/>
    </row>
    <row r="38" spans="2:16" ht="20.7" customHeight="1" outlineLevel="1" x14ac:dyDescent="0.7">
      <c r="B38" s="171">
        <v>16</v>
      </c>
      <c r="C38" s="150" t="s">
        <v>313</v>
      </c>
      <c r="D38" s="215" t="s">
        <v>404</v>
      </c>
      <c r="E38" s="176" t="s">
        <v>405</v>
      </c>
      <c r="F38" s="176" t="s">
        <v>210</v>
      </c>
      <c r="G38" s="176" t="s">
        <v>406</v>
      </c>
      <c r="H38" s="192">
        <v>0</v>
      </c>
      <c r="I38" s="210">
        <v>0</v>
      </c>
      <c r="J38" s="182" t="s">
        <v>307</v>
      </c>
      <c r="K38" s="123" t="s">
        <v>306</v>
      </c>
      <c r="L38" s="132" t="s">
        <v>307</v>
      </c>
      <c r="M38" s="135"/>
      <c r="N38" s="167" t="s">
        <v>336</v>
      </c>
      <c r="O38" s="189">
        <v>46082</v>
      </c>
      <c r="P38" s="4" t="s">
        <v>310</v>
      </c>
    </row>
    <row r="39" spans="2:16" ht="20.7" customHeight="1" outlineLevel="1" x14ac:dyDescent="0.7">
      <c r="B39" s="213"/>
      <c r="C39" s="214"/>
      <c r="D39" s="216"/>
      <c r="E39" s="217"/>
      <c r="F39" s="217"/>
      <c r="G39" s="217"/>
      <c r="H39" s="218"/>
      <c r="I39" s="219"/>
      <c r="J39" s="220"/>
      <c r="K39" s="128" t="s">
        <v>311</v>
      </c>
      <c r="L39" s="133" t="s">
        <v>307</v>
      </c>
      <c r="M39" s="116" t="s">
        <v>307</v>
      </c>
      <c r="N39" s="221"/>
      <c r="O39" s="222"/>
    </row>
    <row r="40" spans="2:16" ht="53.25" customHeight="1" x14ac:dyDescent="0.75">
      <c r="C40" s="43"/>
      <c r="N40" s="44"/>
    </row>
    <row r="41" spans="2:16" ht="22.8" x14ac:dyDescent="0.75">
      <c r="C41" s="44"/>
      <c r="D41" s="45" t="s">
        <v>313</v>
      </c>
      <c r="E41" s="50">
        <f>COUNTIF($C:$C,D41)</f>
        <v>3</v>
      </c>
      <c r="G41" s="96"/>
      <c r="N41" s="44"/>
    </row>
    <row r="42" spans="2:16" ht="22.8" x14ac:dyDescent="0.75">
      <c r="C42" s="44"/>
      <c r="D42" s="46" t="s">
        <v>300</v>
      </c>
      <c r="E42" s="50">
        <f>COUNTIF($C:$C,D42)</f>
        <v>13</v>
      </c>
      <c r="G42" s="96"/>
      <c r="N42" s="44"/>
    </row>
    <row r="43" spans="2:16" ht="22.8" x14ac:dyDescent="0.75">
      <c r="C43" s="44"/>
      <c r="D43" s="47" t="s">
        <v>407</v>
      </c>
      <c r="E43" s="50">
        <f>COUNTIF($C:$C,D43)</f>
        <v>0</v>
      </c>
      <c r="G43" s="96"/>
      <c r="N43" s="44"/>
    </row>
    <row r="44" spans="2:16" ht="22.8" x14ac:dyDescent="0.75">
      <c r="C44" s="44"/>
      <c r="D44" s="48" t="s">
        <v>343</v>
      </c>
      <c r="E44" s="50">
        <f>COUNTIF($C:$C,D44)</f>
        <v>2</v>
      </c>
      <c r="G44" s="96"/>
      <c r="N44" s="44"/>
    </row>
    <row r="45" spans="2:16" ht="21.6" customHeight="1" x14ac:dyDescent="0.75">
      <c r="C45" s="44"/>
      <c r="D45" s="52" t="s">
        <v>408</v>
      </c>
      <c r="E45" s="51">
        <f>SUM(E41:E44)</f>
        <v>18</v>
      </c>
      <c r="G45" s="96"/>
      <c r="N45" s="44"/>
    </row>
    <row r="46" spans="2:16" ht="21" customHeight="1" x14ac:dyDescent="0.75">
      <c r="C46" s="44"/>
      <c r="D46" s="53"/>
      <c r="G46" s="96"/>
      <c r="N46" s="44"/>
    </row>
    <row r="47" spans="2:16" ht="21.6" customHeight="1" x14ac:dyDescent="0.75">
      <c r="C47" s="44"/>
      <c r="D47" s="54" t="s">
        <v>308</v>
      </c>
      <c r="G47" s="96"/>
      <c r="N47" s="44"/>
    </row>
    <row r="48" spans="2:16" ht="21.6" customHeight="1" x14ac:dyDescent="0.75">
      <c r="C48" s="44"/>
      <c r="D48" s="54" t="s">
        <v>336</v>
      </c>
      <c r="G48" s="96"/>
      <c r="N48" s="44"/>
    </row>
    <row r="49" spans="3:14" ht="21.6" customHeight="1" x14ac:dyDescent="0.75">
      <c r="C49" s="44"/>
      <c r="D49" s="54" t="s">
        <v>319</v>
      </c>
      <c r="G49" s="96"/>
      <c r="N49" s="44"/>
    </row>
    <row r="50" spans="3:14" ht="21" customHeight="1" x14ac:dyDescent="0.75">
      <c r="C50" s="44"/>
      <c r="G50" s="96"/>
    </row>
    <row r="51" spans="3:14" ht="21" customHeight="1" x14ac:dyDescent="0.75">
      <c r="C51" s="44"/>
      <c r="G51" s="96"/>
    </row>
    <row r="52" spans="3:14" ht="21" hidden="1" customHeight="1" x14ac:dyDescent="0.75">
      <c r="C52" s="44"/>
      <c r="G52" s="96"/>
      <c r="H52" s="49">
        <v>1</v>
      </c>
      <c r="I52" s="49"/>
    </row>
    <row r="53" spans="3:14" ht="22.8" x14ac:dyDescent="0.75">
      <c r="C53" s="44"/>
      <c r="G53" s="96"/>
    </row>
    <row r="54" spans="3:14" ht="21" customHeight="1" x14ac:dyDescent="0.75">
      <c r="C54" s="44"/>
      <c r="G54" s="96"/>
    </row>
    <row r="55" spans="3:14" ht="21" customHeight="1" x14ac:dyDescent="0.7">
      <c r="C55" s="44"/>
    </row>
    <row r="56" spans="3:14" ht="21" customHeight="1" x14ac:dyDescent="0.7">
      <c r="C56" s="44"/>
    </row>
    <row r="57" spans="3:14" ht="21" customHeight="1" x14ac:dyDescent="0.7">
      <c r="C57" s="44"/>
    </row>
    <row r="58" spans="3:14" ht="21" customHeight="1" x14ac:dyDescent="0.7">
      <c r="C58" s="44"/>
      <c r="H58" s="49"/>
      <c r="I58" s="49"/>
    </row>
    <row r="59" spans="3:14" ht="21" customHeight="1" x14ac:dyDescent="0.7">
      <c r="C59" s="44"/>
    </row>
    <row r="60" spans="3:14" ht="21" customHeight="1" x14ac:dyDescent="0.7">
      <c r="C60" s="44"/>
    </row>
  </sheetData>
  <mergeCells count="200">
    <mergeCell ref="N36:N37"/>
    <mergeCell ref="O36:O37"/>
    <mergeCell ref="B38:B39"/>
    <mergeCell ref="C38:C39"/>
    <mergeCell ref="D38:D39"/>
    <mergeCell ref="E38:E39"/>
    <mergeCell ref="F38:F39"/>
    <mergeCell ref="G38:G39"/>
    <mergeCell ref="H38:H39"/>
    <mergeCell ref="I38:I39"/>
    <mergeCell ref="J38:J39"/>
    <mergeCell ref="N38:N39"/>
    <mergeCell ref="O38:O39"/>
    <mergeCell ref="C36:C37"/>
    <mergeCell ref="B36:B37"/>
    <mergeCell ref="D36:D37"/>
    <mergeCell ref="E36:E37"/>
    <mergeCell ref="F36:F37"/>
    <mergeCell ref="G36:G37"/>
    <mergeCell ref="H36:H37"/>
    <mergeCell ref="I36:I37"/>
    <mergeCell ref="J36:J37"/>
    <mergeCell ref="N28:N29"/>
    <mergeCell ref="O28:O29"/>
    <mergeCell ref="B28:B29"/>
    <mergeCell ref="C28:C29"/>
    <mergeCell ref="D28:D29"/>
    <mergeCell ref="E28:E29"/>
    <mergeCell ref="F28:F29"/>
    <mergeCell ref="G28:G29"/>
    <mergeCell ref="H28:H29"/>
    <mergeCell ref="I28:I29"/>
    <mergeCell ref="J28:J29"/>
    <mergeCell ref="N4:N5"/>
    <mergeCell ref="J4:J5"/>
    <mergeCell ref="K3:L3"/>
    <mergeCell ref="C6:C7"/>
    <mergeCell ref="C8:C9"/>
    <mergeCell ref="C10:C11"/>
    <mergeCell ref="N3:O3"/>
    <mergeCell ref="B4:B5"/>
    <mergeCell ref="C4:C5"/>
    <mergeCell ref="D4:D5"/>
    <mergeCell ref="E4:E5"/>
    <mergeCell ref="F4:F5"/>
    <mergeCell ref="G4:G5"/>
    <mergeCell ref="H4:H5"/>
    <mergeCell ref="I4:I5"/>
    <mergeCell ref="O4:O5"/>
    <mergeCell ref="H6:H7"/>
    <mergeCell ref="H8:H9"/>
    <mergeCell ref="H10:H11"/>
    <mergeCell ref="I10:I11"/>
    <mergeCell ref="I8:I9"/>
    <mergeCell ref="I6:I7"/>
    <mergeCell ref="J6:J7"/>
    <mergeCell ref="J8:J9"/>
    <mergeCell ref="C12:C13"/>
    <mergeCell ref="D6:D7"/>
    <mergeCell ref="D8:D9"/>
    <mergeCell ref="D10:D11"/>
    <mergeCell ref="D12:D13"/>
    <mergeCell ref="D14:D15"/>
    <mergeCell ref="B18:B19"/>
    <mergeCell ref="B20:B21"/>
    <mergeCell ref="C20:C21"/>
    <mergeCell ref="C18:C19"/>
    <mergeCell ref="C16:C17"/>
    <mergeCell ref="C14:C15"/>
    <mergeCell ref="B6:B7"/>
    <mergeCell ref="B8:B9"/>
    <mergeCell ref="B10:B11"/>
    <mergeCell ref="B12:B13"/>
    <mergeCell ref="B14:B15"/>
    <mergeCell ref="B16:B17"/>
    <mergeCell ref="G8:G9"/>
    <mergeCell ref="G6:G7"/>
    <mergeCell ref="G10:G11"/>
    <mergeCell ref="D16:D17"/>
    <mergeCell ref="D18:D19"/>
    <mergeCell ref="D20:D21"/>
    <mergeCell ref="E20:E21"/>
    <mergeCell ref="E18:E19"/>
    <mergeCell ref="E16:E17"/>
    <mergeCell ref="E14:E15"/>
    <mergeCell ref="E12:E13"/>
    <mergeCell ref="E10:E11"/>
    <mergeCell ref="E8:E9"/>
    <mergeCell ref="E6:E7"/>
    <mergeCell ref="F6:F7"/>
    <mergeCell ref="F8:F9"/>
    <mergeCell ref="F10:F11"/>
    <mergeCell ref="F12:F13"/>
    <mergeCell ref="F14:F15"/>
    <mergeCell ref="H12:H13"/>
    <mergeCell ref="H14:H15"/>
    <mergeCell ref="F16:F17"/>
    <mergeCell ref="F18:F19"/>
    <mergeCell ref="H16:H17"/>
    <mergeCell ref="H18:H19"/>
    <mergeCell ref="H20:H21"/>
    <mergeCell ref="I20:I21"/>
    <mergeCell ref="I18:I19"/>
    <mergeCell ref="I16:I17"/>
    <mergeCell ref="G14:G15"/>
    <mergeCell ref="G12:G13"/>
    <mergeCell ref="I14:I15"/>
    <mergeCell ref="I12:I13"/>
    <mergeCell ref="F20:F21"/>
    <mergeCell ref="G20:G21"/>
    <mergeCell ref="G18:G19"/>
    <mergeCell ref="G16:G17"/>
    <mergeCell ref="J10:J11"/>
    <mergeCell ref="J12:J13"/>
    <mergeCell ref="J14:J15"/>
    <mergeCell ref="J16:J17"/>
    <mergeCell ref="J18:J19"/>
    <mergeCell ref="J20:J21"/>
    <mergeCell ref="N6:N7"/>
    <mergeCell ref="O6:O7"/>
    <mergeCell ref="N8:N9"/>
    <mergeCell ref="N10:N11"/>
    <mergeCell ref="N12:N13"/>
    <mergeCell ref="N14:N15"/>
    <mergeCell ref="N16:N17"/>
    <mergeCell ref="O12:O13"/>
    <mergeCell ref="O10:O11"/>
    <mergeCell ref="O8:O9"/>
    <mergeCell ref="N18:N19"/>
    <mergeCell ref="N20:N21"/>
    <mergeCell ref="O20:O21"/>
    <mergeCell ref="O18:O19"/>
    <mergeCell ref="O16:O17"/>
    <mergeCell ref="O14:O15"/>
    <mergeCell ref="N22:N23"/>
    <mergeCell ref="O22:O23"/>
    <mergeCell ref="B30:B31"/>
    <mergeCell ref="C30:C31"/>
    <mergeCell ref="D30:D31"/>
    <mergeCell ref="E30:E31"/>
    <mergeCell ref="F30:F31"/>
    <mergeCell ref="G30:G31"/>
    <mergeCell ref="H30:H31"/>
    <mergeCell ref="I30:I31"/>
    <mergeCell ref="J30:J31"/>
    <mergeCell ref="N30:N31"/>
    <mergeCell ref="O30:O31"/>
    <mergeCell ref="C22:C23"/>
    <mergeCell ref="B22:B23"/>
    <mergeCell ref="D22:D23"/>
    <mergeCell ref="E22:E23"/>
    <mergeCell ref="F22:F23"/>
    <mergeCell ref="G22:G23"/>
    <mergeCell ref="H22:H23"/>
    <mergeCell ref="I22:I23"/>
    <mergeCell ref="J22:J23"/>
    <mergeCell ref="B24:B25"/>
    <mergeCell ref="C24:C25"/>
    <mergeCell ref="N32:N33"/>
    <mergeCell ref="O32:O33"/>
    <mergeCell ref="B32:B33"/>
    <mergeCell ref="C32:C33"/>
    <mergeCell ref="D32:D33"/>
    <mergeCell ref="E32:E33"/>
    <mergeCell ref="F32:F33"/>
    <mergeCell ref="G32:G33"/>
    <mergeCell ref="H32:H33"/>
    <mergeCell ref="I32:I33"/>
    <mergeCell ref="J32:J33"/>
    <mergeCell ref="N34:N35"/>
    <mergeCell ref="O34:O35"/>
    <mergeCell ref="B34:B35"/>
    <mergeCell ref="C34:C35"/>
    <mergeCell ref="D34:D35"/>
    <mergeCell ref="E34:E35"/>
    <mergeCell ref="F34:F35"/>
    <mergeCell ref="G34:G35"/>
    <mergeCell ref="H34:H35"/>
    <mergeCell ref="I34:I35"/>
    <mergeCell ref="J34:J35"/>
    <mergeCell ref="D24:D25"/>
    <mergeCell ref="E24:E25"/>
    <mergeCell ref="F24:F25"/>
    <mergeCell ref="G24:G25"/>
    <mergeCell ref="H24:H25"/>
    <mergeCell ref="I24:I25"/>
    <mergeCell ref="J24:J25"/>
    <mergeCell ref="N24:N25"/>
    <mergeCell ref="O24:O25"/>
    <mergeCell ref="N26:N27"/>
    <mergeCell ref="O26:O27"/>
    <mergeCell ref="B26:B27"/>
    <mergeCell ref="C26:C27"/>
    <mergeCell ref="D26:D27"/>
    <mergeCell ref="E26:E27"/>
    <mergeCell ref="F26:F27"/>
    <mergeCell ref="G26:G27"/>
    <mergeCell ref="H26:H27"/>
    <mergeCell ref="I26:I27"/>
    <mergeCell ref="J26:J27"/>
  </mergeCells>
  <phoneticPr fontId="20"/>
  <conditionalFormatting sqref="C4 C6 C8 C10 C12 C14 C16 C18 C20 C40:C58">
    <cfRule type="cellIs" dxfId="39" priority="55" operator="equal">
      <formula>$D$44</formula>
    </cfRule>
    <cfRule type="cellIs" dxfId="38" priority="56" operator="equal">
      <formula>$D$43</formula>
    </cfRule>
    <cfRule type="cellIs" dxfId="37" priority="57" operator="equal">
      <formula>$D$42</formula>
    </cfRule>
  </conditionalFormatting>
  <conditionalFormatting sqref="C4 C6 C8 C10 C12 C14 C16 C18 C20 C40:C60">
    <cfRule type="cellIs" dxfId="36" priority="58" operator="equal">
      <formula>$D$41</formula>
    </cfRule>
  </conditionalFormatting>
  <conditionalFormatting sqref="C22">
    <cfRule type="cellIs" dxfId="35" priority="50" operator="equal">
      <formula>$D$41</formula>
    </cfRule>
    <cfRule type="cellIs" dxfId="34" priority="48" operator="equal">
      <formula>$D$43</formula>
    </cfRule>
    <cfRule type="cellIs" dxfId="33" priority="47" operator="equal">
      <formula>$D$44</formula>
    </cfRule>
    <cfRule type="cellIs" dxfId="32" priority="49" operator="equal">
      <formula>$D$42</formula>
    </cfRule>
  </conditionalFormatting>
  <conditionalFormatting sqref="C24">
    <cfRule type="cellIs" dxfId="31" priority="29" operator="equal">
      <formula>$D$41</formula>
    </cfRule>
    <cfRule type="cellIs" dxfId="30" priority="28" operator="equal">
      <formula>$D$42</formula>
    </cfRule>
    <cfRule type="cellIs" dxfId="29" priority="27" operator="equal">
      <formula>$D$43</formula>
    </cfRule>
    <cfRule type="cellIs" dxfId="28" priority="26" operator="equal">
      <formula>$D$44</formula>
    </cfRule>
  </conditionalFormatting>
  <conditionalFormatting sqref="C26">
    <cfRule type="cellIs" dxfId="27" priority="21" operator="equal">
      <formula>$D$44</formula>
    </cfRule>
    <cfRule type="cellIs" dxfId="26" priority="22" operator="equal">
      <formula>$D$43</formula>
    </cfRule>
    <cfRule type="cellIs" dxfId="25" priority="23" operator="equal">
      <formula>$D$42</formula>
    </cfRule>
    <cfRule type="cellIs" dxfId="24" priority="24" operator="equal">
      <formula>$D$41</formula>
    </cfRule>
  </conditionalFormatting>
  <conditionalFormatting sqref="C28">
    <cfRule type="cellIs" dxfId="23" priority="16" operator="equal">
      <formula>$D$44</formula>
    </cfRule>
    <cfRule type="cellIs" dxfId="22" priority="17" operator="equal">
      <formula>$D$43</formula>
    </cfRule>
    <cfRule type="cellIs" dxfId="21" priority="18" operator="equal">
      <formula>$D$42</formula>
    </cfRule>
    <cfRule type="cellIs" dxfId="20" priority="19" operator="equal">
      <formula>$D$41</formula>
    </cfRule>
  </conditionalFormatting>
  <conditionalFormatting sqref="C30">
    <cfRule type="cellIs" dxfId="19" priority="13" operator="equal">
      <formula>$D$42</formula>
    </cfRule>
    <cfRule type="cellIs" dxfId="18" priority="11" operator="equal">
      <formula>$D$44</formula>
    </cfRule>
    <cfRule type="cellIs" dxfId="17" priority="12" operator="equal">
      <formula>$D$43</formula>
    </cfRule>
    <cfRule type="cellIs" dxfId="16" priority="14" operator="equal">
      <formula>$D$41</formula>
    </cfRule>
  </conditionalFormatting>
  <conditionalFormatting sqref="C32">
    <cfRule type="cellIs" dxfId="15" priority="39" operator="equal">
      <formula>$D$41</formula>
    </cfRule>
    <cfRule type="cellIs" dxfId="14" priority="38" operator="equal">
      <formula>$D$42</formula>
    </cfRule>
    <cfRule type="cellIs" dxfId="13" priority="37" operator="equal">
      <formula>$D$43</formula>
    </cfRule>
    <cfRule type="cellIs" dxfId="12" priority="36" operator="equal">
      <formula>$D$44</formula>
    </cfRule>
  </conditionalFormatting>
  <conditionalFormatting sqref="C34">
    <cfRule type="cellIs" dxfId="11" priority="31" operator="equal">
      <formula>$D$44</formula>
    </cfRule>
    <cfRule type="cellIs" dxfId="10" priority="32" operator="equal">
      <formula>$D$43</formula>
    </cfRule>
    <cfRule type="cellIs" dxfId="9" priority="33" operator="equal">
      <formula>$D$42</formula>
    </cfRule>
    <cfRule type="cellIs" dxfId="8" priority="34" operator="equal">
      <formula>$D$41</formula>
    </cfRule>
  </conditionalFormatting>
  <conditionalFormatting sqref="C36">
    <cfRule type="cellIs" dxfId="7" priority="9" operator="equal">
      <formula>$D$41</formula>
    </cfRule>
    <cfRule type="cellIs" dxfId="6" priority="8" operator="equal">
      <formula>$D$42</formula>
    </cfRule>
    <cfRule type="cellIs" dxfId="5" priority="6" operator="equal">
      <formula>$D$44</formula>
    </cfRule>
    <cfRule type="cellIs" dxfId="4" priority="7" operator="equal">
      <formula>$D$43</formula>
    </cfRule>
  </conditionalFormatting>
  <conditionalFormatting sqref="C38">
    <cfRule type="cellIs" dxfId="3" priority="1" operator="equal">
      <formula>$D$44</formula>
    </cfRule>
    <cfRule type="cellIs" dxfId="2" priority="4" operator="equal">
      <formula>$D$41</formula>
    </cfRule>
    <cfRule type="cellIs" dxfId="1" priority="3" operator="equal">
      <formula>$D$42</formula>
    </cfRule>
    <cfRule type="cellIs" dxfId="0" priority="2" operator="equal">
      <formula>$D$43</formula>
    </cfRule>
  </conditionalFormatting>
  <conditionalFormatting sqref="H6 H4 H8 H10 H12 H14 H16 H18 H20 H22 H40:H58">
    <cfRule type="dataBar" priority="13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{D821ECCA-593E-4B0E-BC13-6D98C0B6DFB5}</x14:id>
        </ext>
      </extLst>
    </cfRule>
  </conditionalFormatting>
  <conditionalFormatting sqref="H24">
    <cfRule type="dataBar" priority="30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{B1C44267-409C-4671-8E8E-99335BF23888}</x14:id>
        </ext>
      </extLst>
    </cfRule>
  </conditionalFormatting>
  <conditionalFormatting sqref="H26">
    <cfRule type="dataBar" priority="25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{2DDAB6C3-4C92-4203-A43A-1FF3325BD228}</x14:id>
        </ext>
      </extLst>
    </cfRule>
  </conditionalFormatting>
  <conditionalFormatting sqref="H28">
    <cfRule type="dataBar" priority="20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{668A2E0A-7DC4-4947-B98F-69A786FB66EF}</x14:id>
        </ext>
      </extLst>
    </cfRule>
  </conditionalFormatting>
  <conditionalFormatting sqref="H30">
    <cfRule type="dataBar" priority="15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{0177AA66-CB81-47FF-8046-54036114F44E}</x14:id>
        </ext>
      </extLst>
    </cfRule>
  </conditionalFormatting>
  <conditionalFormatting sqref="H32">
    <cfRule type="dataBar" priority="40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{A2713F89-C528-41BF-9562-AF9931C8A1FC}</x14:id>
        </ext>
      </extLst>
    </cfRule>
  </conditionalFormatting>
  <conditionalFormatting sqref="H34">
    <cfRule type="dataBar" priority="35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{B59A8F48-0D14-4A20-B6D8-0E757C877228}</x14:id>
        </ext>
      </extLst>
    </cfRule>
  </conditionalFormatting>
  <conditionalFormatting sqref="H36">
    <cfRule type="dataBar" priority="10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{4EA7685D-F767-4692-AFC2-73D5EB15848A}</x14:id>
        </ext>
      </extLst>
    </cfRule>
  </conditionalFormatting>
  <conditionalFormatting sqref="H38">
    <cfRule type="dataBar" priority="5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{4C98415F-ED65-40DD-97C6-44E81E1376C2}</x14:id>
        </ext>
      </extLst>
    </cfRule>
  </conditionalFormatting>
  <dataValidations count="2">
    <dataValidation type="list" allowBlank="1" showInputMessage="1" showErrorMessage="1" sqref="C4 C38 C40:C64 C34 C28 C14 C12 C16 C18 C20 C26 C8 C10 C6 C22 C32 C24 C30 C36" xr:uid="{D359CC2C-4767-4FC0-A0E1-95C7BB2D54E6}">
      <formula1>$D$41:$D$44</formula1>
    </dataValidation>
    <dataValidation type="list" allowBlank="1" showInputMessage="1" showErrorMessage="1" sqref="N4 N38 N40:N49 N34 N28 N26 N20 N18 N30 N14 N12 N10 N8 N6 N22 N16 N24 N32 N36" xr:uid="{A615404A-E20B-4DEB-94DA-409EFB27927D}">
      <formula1>$D$47:$D$49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21ECCA-593E-4B0E-BC13-6D98C0B6DFB5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H6 H4 H8 H10 H12 H14 H16 H18 H20 H22 H40:H58</xm:sqref>
        </x14:conditionalFormatting>
        <x14:conditionalFormatting xmlns:xm="http://schemas.microsoft.com/office/excel/2006/main">
          <x14:cfRule type="dataBar" id="{B1C44267-409C-4671-8E8E-99335BF23888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H24</xm:sqref>
        </x14:conditionalFormatting>
        <x14:conditionalFormatting xmlns:xm="http://schemas.microsoft.com/office/excel/2006/main">
          <x14:cfRule type="dataBar" id="{2DDAB6C3-4C92-4203-A43A-1FF3325BD228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H26</xm:sqref>
        </x14:conditionalFormatting>
        <x14:conditionalFormatting xmlns:xm="http://schemas.microsoft.com/office/excel/2006/main">
          <x14:cfRule type="dataBar" id="{668A2E0A-7DC4-4947-B98F-69A786FB66EF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H28</xm:sqref>
        </x14:conditionalFormatting>
        <x14:conditionalFormatting xmlns:xm="http://schemas.microsoft.com/office/excel/2006/main">
          <x14:cfRule type="dataBar" id="{0177AA66-CB81-47FF-8046-54036114F44E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H30</xm:sqref>
        </x14:conditionalFormatting>
        <x14:conditionalFormatting xmlns:xm="http://schemas.microsoft.com/office/excel/2006/main">
          <x14:cfRule type="dataBar" id="{A2713F89-C528-41BF-9562-AF9931C8A1FC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H32</xm:sqref>
        </x14:conditionalFormatting>
        <x14:conditionalFormatting xmlns:xm="http://schemas.microsoft.com/office/excel/2006/main">
          <x14:cfRule type="dataBar" id="{B59A8F48-0D14-4A20-B6D8-0E757C877228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H34</xm:sqref>
        </x14:conditionalFormatting>
        <x14:conditionalFormatting xmlns:xm="http://schemas.microsoft.com/office/excel/2006/main">
          <x14:cfRule type="dataBar" id="{4EA7685D-F767-4692-AFC2-73D5EB15848A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H36</xm:sqref>
        </x14:conditionalFormatting>
        <x14:conditionalFormatting xmlns:xm="http://schemas.microsoft.com/office/excel/2006/main">
          <x14:cfRule type="dataBar" id="{4C98415F-ED65-40DD-97C6-44E81E1376C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H38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C86B-E334-4B44-9E3E-8DE05E48618E}">
  <sheetPr>
    <tabColor theme="0" tint="-0.34998626667073579"/>
  </sheetPr>
  <dimension ref="B1:BK52"/>
  <sheetViews>
    <sheetView showGridLines="0" topLeftCell="C7" zoomScale="70" zoomScaleNormal="70" workbookViewId="0">
      <selection activeCell="C7" sqref="C7"/>
    </sheetView>
  </sheetViews>
  <sheetFormatPr defaultRowHeight="21" outlineLevelRow="1" outlineLevelCol="1" x14ac:dyDescent="0.7"/>
  <cols>
    <col min="1" max="1" width="4.33203125" customWidth="1"/>
    <col min="2" max="2" width="8.6640625" style="4"/>
    <col min="3" max="3" width="10.5546875" style="4" bestFit="1" customWidth="1"/>
    <col min="4" max="4" width="10.44140625" style="4" bestFit="1" customWidth="1"/>
    <col min="5" max="5" width="9" style="4" bestFit="1" customWidth="1"/>
    <col min="6" max="6" width="10" style="4" bestFit="1" customWidth="1"/>
    <col min="7" max="18" width="8.6640625" style="4"/>
    <col min="19" max="19" width="8.6640625" style="4" customWidth="1"/>
    <col min="20" max="24" width="8.6640625" style="4"/>
    <col min="26" max="63" width="8.6640625" customWidth="1" outlineLevel="1"/>
  </cols>
  <sheetData>
    <row r="1" spans="2:63" x14ac:dyDescent="0.7">
      <c r="B1" s="4" t="s">
        <v>409</v>
      </c>
    </row>
    <row r="2" spans="2:63" ht="21.6" x14ac:dyDescent="0.2">
      <c r="B2" s="231" t="s">
        <v>410</v>
      </c>
      <c r="C2" s="26" t="s">
        <v>411</v>
      </c>
      <c r="D2" s="34" t="s">
        <v>412</v>
      </c>
      <c r="E2" s="34" t="s">
        <v>413</v>
      </c>
      <c r="F2" s="34" t="s">
        <v>414</v>
      </c>
      <c r="G2" s="34" t="s">
        <v>415</v>
      </c>
      <c r="H2" s="34" t="s">
        <v>416</v>
      </c>
      <c r="I2" s="34" t="s">
        <v>417</v>
      </c>
      <c r="J2" s="34" t="s">
        <v>418</v>
      </c>
      <c r="K2" s="34" t="s">
        <v>419</v>
      </c>
      <c r="L2" s="34" t="s">
        <v>420</v>
      </c>
      <c r="M2" s="34" t="s">
        <v>421</v>
      </c>
      <c r="N2" s="34" t="s">
        <v>422</v>
      </c>
      <c r="O2" s="34" t="s">
        <v>423</v>
      </c>
      <c r="P2" s="34" t="s">
        <v>424</v>
      </c>
      <c r="Q2" s="34" t="s">
        <v>425</v>
      </c>
      <c r="R2" s="34" t="s">
        <v>426</v>
      </c>
      <c r="S2" s="34" t="s">
        <v>427</v>
      </c>
      <c r="T2" s="34" t="s">
        <v>428</v>
      </c>
      <c r="U2" s="34" t="s">
        <v>429</v>
      </c>
      <c r="V2" s="34" t="s">
        <v>430</v>
      </c>
      <c r="W2" s="34" t="s">
        <v>431</v>
      </c>
      <c r="X2" s="34" t="s">
        <v>432</v>
      </c>
      <c r="AB2" t="s">
        <v>412</v>
      </c>
      <c r="AD2" t="s">
        <v>413</v>
      </c>
      <c r="AF2" t="s">
        <v>414</v>
      </c>
      <c r="AH2" t="s">
        <v>415</v>
      </c>
      <c r="AJ2" t="s">
        <v>416</v>
      </c>
      <c r="AL2" t="s">
        <v>417</v>
      </c>
      <c r="AN2" t="s">
        <v>418</v>
      </c>
      <c r="AP2" t="s">
        <v>419</v>
      </c>
      <c r="AR2" t="s">
        <v>420</v>
      </c>
      <c r="AT2" t="s">
        <v>421</v>
      </c>
      <c r="AV2" t="s">
        <v>422</v>
      </c>
      <c r="AX2" t="s">
        <v>423</v>
      </c>
      <c r="AZ2" t="s">
        <v>424</v>
      </c>
      <c r="BB2" t="s">
        <v>425</v>
      </c>
      <c r="BD2" t="s">
        <v>426</v>
      </c>
      <c r="BF2" t="s">
        <v>427</v>
      </c>
      <c r="BH2" t="s">
        <v>428</v>
      </c>
      <c r="BJ2" t="s">
        <v>429</v>
      </c>
    </row>
    <row r="3" spans="2:63" ht="18" x14ac:dyDescent="0.2">
      <c r="B3" s="232"/>
      <c r="C3" s="27" t="s">
        <v>433</v>
      </c>
      <c r="D3" s="27" t="s">
        <v>434</v>
      </c>
      <c r="E3" s="27" t="s">
        <v>435</v>
      </c>
      <c r="F3" s="27" t="s">
        <v>436</v>
      </c>
      <c r="G3" s="27" t="s">
        <v>437</v>
      </c>
      <c r="H3" s="27" t="s">
        <v>438</v>
      </c>
      <c r="I3" s="27" t="s">
        <v>439</v>
      </c>
      <c r="J3" s="27" t="s">
        <v>440</v>
      </c>
      <c r="K3" s="27" t="s">
        <v>441</v>
      </c>
      <c r="L3" s="27" t="s">
        <v>442</v>
      </c>
      <c r="M3" s="27" t="s">
        <v>443</v>
      </c>
      <c r="N3" s="27" t="s">
        <v>444</v>
      </c>
      <c r="O3" s="27" t="s">
        <v>445</v>
      </c>
      <c r="P3" s="27" t="s">
        <v>446</v>
      </c>
      <c r="Q3" s="27" t="s">
        <v>447</v>
      </c>
      <c r="R3" s="27" t="s">
        <v>448</v>
      </c>
      <c r="S3" s="27" t="s">
        <v>449</v>
      </c>
      <c r="T3" s="27" t="s">
        <v>450</v>
      </c>
      <c r="U3" s="27" t="s">
        <v>451</v>
      </c>
      <c r="V3" s="27" t="s">
        <v>452</v>
      </c>
      <c r="W3" s="27" t="s">
        <v>453</v>
      </c>
      <c r="X3" s="27" t="s">
        <v>454</v>
      </c>
      <c r="AB3" t="s">
        <v>455</v>
      </c>
      <c r="AC3" t="s">
        <v>456</v>
      </c>
      <c r="AD3" t="s">
        <v>455</v>
      </c>
      <c r="AE3" t="s">
        <v>456</v>
      </c>
      <c r="AF3" t="s">
        <v>455</v>
      </c>
      <c r="AG3" t="s">
        <v>456</v>
      </c>
      <c r="AH3" t="s">
        <v>455</v>
      </c>
      <c r="AI3" t="s">
        <v>456</v>
      </c>
      <c r="AJ3" t="s">
        <v>455</v>
      </c>
      <c r="AK3" t="s">
        <v>456</v>
      </c>
      <c r="AL3" t="s">
        <v>455</v>
      </c>
      <c r="AM3" t="s">
        <v>456</v>
      </c>
      <c r="AN3" t="s">
        <v>455</v>
      </c>
      <c r="AO3" t="s">
        <v>456</v>
      </c>
      <c r="AP3" t="s">
        <v>455</v>
      </c>
      <c r="AQ3" t="s">
        <v>456</v>
      </c>
      <c r="AR3" t="s">
        <v>455</v>
      </c>
      <c r="AS3" t="s">
        <v>456</v>
      </c>
      <c r="AT3" t="s">
        <v>455</v>
      </c>
      <c r="AU3" t="s">
        <v>456</v>
      </c>
      <c r="AV3" t="s">
        <v>455</v>
      </c>
      <c r="AW3" t="s">
        <v>456</v>
      </c>
      <c r="AX3" t="s">
        <v>455</v>
      </c>
      <c r="AY3" t="s">
        <v>456</v>
      </c>
      <c r="AZ3" t="s">
        <v>455</v>
      </c>
      <c r="BA3" t="s">
        <v>456</v>
      </c>
      <c r="BB3" t="s">
        <v>455</v>
      </c>
      <c r="BC3" t="s">
        <v>456</v>
      </c>
      <c r="BD3" t="s">
        <v>455</v>
      </c>
      <c r="BE3" t="s">
        <v>456</v>
      </c>
      <c r="BF3" t="s">
        <v>455</v>
      </c>
      <c r="BG3" t="s">
        <v>456</v>
      </c>
      <c r="BH3" t="s">
        <v>455</v>
      </c>
      <c r="BI3" t="s">
        <v>456</v>
      </c>
      <c r="BJ3" t="s">
        <v>455</v>
      </c>
      <c r="BK3" t="s">
        <v>456</v>
      </c>
    </row>
    <row r="4" spans="2:63" ht="21.6" x14ac:dyDescent="0.75">
      <c r="B4" s="12" t="s">
        <v>247</v>
      </c>
      <c r="C4" s="28">
        <v>457</v>
      </c>
      <c r="D4" s="29">
        <f>D10/$C4</f>
        <v>0.77805564238824632</v>
      </c>
      <c r="E4" s="30">
        <f>E10/$C4</f>
        <v>0.69678024382619574</v>
      </c>
      <c r="F4" s="30">
        <f t="shared" ref="F4:R4" si="0">F10/$C4</f>
        <v>0.68396373866833382</v>
      </c>
      <c r="G4" s="30">
        <f t="shared" si="0"/>
        <v>0.74898405751797437</v>
      </c>
      <c r="H4" s="30">
        <f t="shared" si="0"/>
        <v>1.0006251953735543</v>
      </c>
      <c r="I4" s="30">
        <f t="shared" si="0"/>
        <v>0.69490465770553289</v>
      </c>
      <c r="J4" s="30">
        <f t="shared" si="0"/>
        <v>0.75148483901219132</v>
      </c>
      <c r="K4" s="30">
        <f t="shared" si="0"/>
        <v>0.79368552672710224</v>
      </c>
      <c r="L4" s="30">
        <f t="shared" si="0"/>
        <v>0.76930290715848704</v>
      </c>
      <c r="M4" s="30">
        <f t="shared" si="0"/>
        <v>0.80150046889653015</v>
      </c>
      <c r="N4" s="30">
        <f t="shared" si="0"/>
        <v>0.76930290715848704</v>
      </c>
      <c r="O4" s="30">
        <f t="shared" si="0"/>
        <v>0.70959674898405745</v>
      </c>
      <c r="P4" s="30">
        <f t="shared" si="0"/>
        <v>0.72428884026258211</v>
      </c>
      <c r="Q4" s="30">
        <f t="shared" si="0"/>
        <v>0.65926852141294157</v>
      </c>
      <c r="R4" s="30">
        <f t="shared" si="0"/>
        <v>0.85057830572053772</v>
      </c>
      <c r="S4" s="30">
        <f>S10/$C4</f>
        <v>0.81025320412628943</v>
      </c>
      <c r="T4" s="30">
        <f>T10/$C4</f>
        <v>0.76148796498905913</v>
      </c>
      <c r="U4" s="30">
        <f>U10/$C4</f>
        <v>0.73085339168490149</v>
      </c>
      <c r="V4" s="30">
        <f>V10/$C4</f>
        <v>0.80525164113785563</v>
      </c>
      <c r="W4" s="30">
        <f t="shared" ref="W4:X4" si="1">W10/$C4</f>
        <v>0.862144420131291</v>
      </c>
      <c r="X4" s="30">
        <f t="shared" si="1"/>
        <v>0.86339481087839942</v>
      </c>
      <c r="AA4" t="s">
        <v>247</v>
      </c>
      <c r="AB4" s="2">
        <f>D16</f>
        <v>551.95714285714303</v>
      </c>
      <c r="AC4" s="2">
        <f>D10</f>
        <v>355.57142857142856</v>
      </c>
      <c r="AD4" s="2">
        <f>E16</f>
        <v>541.80000000000007</v>
      </c>
      <c r="AE4" s="2">
        <f>E10</f>
        <v>318.42857142857144</v>
      </c>
      <c r="AF4" s="2">
        <f>F16</f>
        <v>433.8</v>
      </c>
      <c r="AG4" s="2">
        <f>F10</f>
        <v>312.57142857142856</v>
      </c>
      <c r="AH4" s="2">
        <f>G16</f>
        <v>432.12857142857143</v>
      </c>
      <c r="AI4" s="2">
        <f>G10</f>
        <v>342.28571428571428</v>
      </c>
      <c r="AJ4" s="2">
        <f>H16</f>
        <v>631.67142857142858</v>
      </c>
      <c r="AK4" s="2">
        <f>H10</f>
        <v>457.28571428571428</v>
      </c>
      <c r="AL4" s="2">
        <f>I16</f>
        <v>480.98571428571432</v>
      </c>
      <c r="AM4" s="2">
        <f>I10</f>
        <v>317.57142857142856</v>
      </c>
      <c r="AN4" s="2">
        <f>J16</f>
        <v>457.71428571428572</v>
      </c>
      <c r="AO4" s="2">
        <f>J10</f>
        <v>343.42857142857144</v>
      </c>
      <c r="AP4" s="2">
        <f>K16</f>
        <v>459.12857142857143</v>
      </c>
      <c r="AQ4" s="2">
        <f>K10</f>
        <v>362.71428571428572</v>
      </c>
      <c r="AR4" s="2">
        <f>L16</f>
        <v>464.01428571428573</v>
      </c>
      <c r="AS4" s="2">
        <f>L10</f>
        <v>351.57142857142856</v>
      </c>
      <c r="AT4" s="2">
        <f>M16</f>
        <v>460.92857142857139</v>
      </c>
      <c r="AU4" s="2">
        <f>M10</f>
        <v>366.28571428571428</v>
      </c>
      <c r="AV4" s="2">
        <f>N16</f>
        <v>390.21428571428572</v>
      </c>
      <c r="AW4" s="2">
        <f>N10</f>
        <v>351.57142857142856</v>
      </c>
      <c r="AX4" s="2">
        <f>O16</f>
        <v>395.35714285714283</v>
      </c>
      <c r="AY4" s="2">
        <f>O10</f>
        <v>324.28571428571428</v>
      </c>
      <c r="AZ4" s="2">
        <f>P16</f>
        <v>396.3857142857143</v>
      </c>
      <c r="BA4" s="2">
        <f>P10</f>
        <v>331</v>
      </c>
      <c r="BB4" s="2">
        <f>Q16</f>
        <v>390.85714285714283</v>
      </c>
      <c r="BC4" s="2">
        <f>Q10</f>
        <v>301.28571428571428</v>
      </c>
      <c r="BD4" s="2">
        <f>R16</f>
        <v>427.1142857142857</v>
      </c>
      <c r="BE4" s="2">
        <f>R10</f>
        <v>388.71428571428572</v>
      </c>
      <c r="BF4" s="2">
        <f>S16</f>
        <v>384.68571428571431</v>
      </c>
      <c r="BG4" s="2">
        <f>S10</f>
        <v>370.28571428571428</v>
      </c>
      <c r="BH4" s="2">
        <f>T16</f>
        <v>389.57142857142856</v>
      </c>
      <c r="BI4" s="2">
        <f>T10</f>
        <v>348</v>
      </c>
      <c r="BJ4" s="2">
        <f>X16</f>
        <v>344.18571428571403</v>
      </c>
      <c r="BK4" s="2">
        <f>X10</f>
        <v>394.57142857142856</v>
      </c>
    </row>
    <row r="5" spans="2:63" ht="21.6" x14ac:dyDescent="0.75">
      <c r="B5" s="12" t="s">
        <v>249</v>
      </c>
      <c r="C5" s="28">
        <v>814</v>
      </c>
      <c r="D5" s="31">
        <f>D11/$C5</f>
        <v>0.66233766233766234</v>
      </c>
      <c r="E5" s="100">
        <f t="shared" ref="E5" si="2">E11/$C5</f>
        <v>0.6396981396981396</v>
      </c>
      <c r="F5" s="100">
        <f t="shared" ref="F5:R5" si="3">F11/$C5</f>
        <v>0.72270972270972278</v>
      </c>
      <c r="G5" s="100">
        <f t="shared" si="3"/>
        <v>0.82941382941382935</v>
      </c>
      <c r="H5" s="100">
        <f t="shared" si="3"/>
        <v>0.8794313794313795</v>
      </c>
      <c r="I5" s="100">
        <f t="shared" si="3"/>
        <v>0.87679887679887669</v>
      </c>
      <c r="J5" s="100">
        <f t="shared" si="3"/>
        <v>0.83994383994383992</v>
      </c>
      <c r="K5" s="100">
        <f t="shared" si="3"/>
        <v>0.74499824499824496</v>
      </c>
      <c r="L5" s="100">
        <f t="shared" si="3"/>
        <v>0.75219375219375229</v>
      </c>
      <c r="M5" s="100">
        <f t="shared" si="3"/>
        <v>0.7960687960687961</v>
      </c>
      <c r="N5" s="100">
        <f t="shared" si="3"/>
        <v>0.8167778167778168</v>
      </c>
      <c r="O5" s="100">
        <f t="shared" si="3"/>
        <v>0.80817830817830827</v>
      </c>
      <c r="P5" s="100">
        <f t="shared" si="3"/>
        <v>0.85573885573885566</v>
      </c>
      <c r="Q5" s="100">
        <f t="shared" si="3"/>
        <v>0.89259389259389255</v>
      </c>
      <c r="R5" s="100">
        <f t="shared" si="3"/>
        <v>0.92541242541242552</v>
      </c>
      <c r="S5" s="100">
        <f t="shared" ref="S5:U6" si="4">S11/$C5</f>
        <v>0.95559845559845569</v>
      </c>
      <c r="T5" s="100">
        <f t="shared" si="4"/>
        <v>1.0356265356265357</v>
      </c>
      <c r="U5" s="100">
        <f t="shared" si="4"/>
        <v>1.0712530712530712</v>
      </c>
      <c r="V5" s="100">
        <f t="shared" ref="V5:X5" si="5">V11/$C5</f>
        <v>1.0577395577395576</v>
      </c>
      <c r="W5" s="100">
        <f t="shared" si="5"/>
        <v>1.0577395577395576</v>
      </c>
      <c r="X5" s="100">
        <f t="shared" si="5"/>
        <v>1.1363636363636365</v>
      </c>
      <c r="AA5" t="s">
        <v>249</v>
      </c>
      <c r="AB5" s="2">
        <f>D17</f>
        <v>708.57142857142856</v>
      </c>
      <c r="AC5" s="2">
        <f>D11</f>
        <v>539.14285714285711</v>
      </c>
      <c r="AD5" s="2">
        <f>E17</f>
        <v>643.33766233766232</v>
      </c>
      <c r="AE5" s="2">
        <f>E11</f>
        <v>520.71428571428567</v>
      </c>
      <c r="AF5" s="2">
        <f>F17</f>
        <v>730.01948051948045</v>
      </c>
      <c r="AG5" s="2">
        <f>F11</f>
        <v>588.28571428571433</v>
      </c>
      <c r="AH5" s="2">
        <f>G17</f>
        <v>911.68181818181813</v>
      </c>
      <c r="AI5" s="2">
        <f>G11</f>
        <v>675.14285714285711</v>
      </c>
      <c r="AJ5" s="2">
        <f>H17</f>
        <v>909.29870129870119</v>
      </c>
      <c r="AK5" s="2">
        <f>H11</f>
        <v>715.85714285714289</v>
      </c>
      <c r="AL5" s="2">
        <f>I17</f>
        <v>760.48701298701292</v>
      </c>
      <c r="AM5" s="2">
        <f>I11</f>
        <v>713.71428571428567</v>
      </c>
      <c r="AN5" s="2">
        <f>J17</f>
        <v>844.34573425443978</v>
      </c>
      <c r="AO5" s="2">
        <f>J11</f>
        <v>683.71428571428567</v>
      </c>
      <c r="AP5" s="2">
        <f>K17</f>
        <v>837.80597299817202</v>
      </c>
      <c r="AQ5" s="2">
        <f>K11</f>
        <v>606.42857142857144</v>
      </c>
      <c r="AR5" s="2">
        <f>L17</f>
        <v>837.80597299817202</v>
      </c>
      <c r="AS5" s="2">
        <f>L11</f>
        <v>612.28571428571433</v>
      </c>
      <c r="AT5" s="2">
        <f>M17</f>
        <v>837.80597299817202</v>
      </c>
      <c r="AU5" s="2">
        <f>M11</f>
        <v>648</v>
      </c>
      <c r="AV5" s="2">
        <f>N17</f>
        <v>797.28571428571433</v>
      </c>
      <c r="AW5" s="2">
        <f>N11</f>
        <v>664.85714285714289</v>
      </c>
      <c r="AX5" s="2">
        <f>O17</f>
        <v>797.28571428571433</v>
      </c>
      <c r="AY5" s="2">
        <f>O11</f>
        <v>657.85714285714289</v>
      </c>
      <c r="AZ5" s="2">
        <f>P17</f>
        <v>797.28571428571433</v>
      </c>
      <c r="BA5" s="2">
        <f>P11</f>
        <v>696.57142857142856</v>
      </c>
      <c r="BB5" s="2">
        <f>Q17</f>
        <v>770.57142857142856</v>
      </c>
      <c r="BC5" s="2">
        <f>Q11</f>
        <v>726.57142857142856</v>
      </c>
      <c r="BD5" s="2">
        <f>R17</f>
        <v>770.57142857142856</v>
      </c>
      <c r="BE5" s="2">
        <f>R11</f>
        <v>753.28571428571433</v>
      </c>
      <c r="BF5" s="2">
        <f>S17</f>
        <v>770.57142857142856</v>
      </c>
      <c r="BG5" s="2">
        <f>S11</f>
        <v>777.85714285714289</v>
      </c>
      <c r="BH5" s="2">
        <f>T17</f>
        <v>770.42857142857144</v>
      </c>
      <c r="BI5" s="2">
        <f>T11</f>
        <v>843</v>
      </c>
      <c r="BJ5" s="2">
        <f>X17</f>
        <v>817</v>
      </c>
      <c r="BK5" s="2">
        <f>X11</f>
        <v>925</v>
      </c>
    </row>
    <row r="6" spans="2:63" ht="21.6" x14ac:dyDescent="0.75">
      <c r="B6" s="12" t="s">
        <v>189</v>
      </c>
      <c r="C6" s="28">
        <v>1271</v>
      </c>
      <c r="D6" s="32">
        <f>D12/$C6</f>
        <v>0.70450713723727099</v>
      </c>
      <c r="E6" s="33">
        <f t="shared" ref="E6" si="6">E12/$C6</f>
        <v>0.66078453411262228</v>
      </c>
      <c r="F6" s="33">
        <f t="shared" ref="F6:R6" si="7">F12/$C6</f>
        <v>0.72878498370237166</v>
      </c>
      <c r="G6" s="33">
        <f t="shared" si="7"/>
        <v>0.80622681802854901</v>
      </c>
      <c r="H6" s="33">
        <f t="shared" si="7"/>
        <v>0.9244689221085759</v>
      </c>
      <c r="I6" s="33">
        <f t="shared" si="7"/>
        <v>0.81712936945037662</v>
      </c>
      <c r="J6" s="33">
        <f t="shared" si="7"/>
        <v>0.81128470270877817</v>
      </c>
      <c r="K6" s="33">
        <f t="shared" si="7"/>
        <v>0.7657637405867147</v>
      </c>
      <c r="L6" s="33">
        <f t="shared" si="7"/>
        <v>0.77958862537934137</v>
      </c>
      <c r="M6" s="33">
        <f t="shared" si="7"/>
        <v>0.81578060020231546</v>
      </c>
      <c r="N6" s="33">
        <f t="shared" si="7"/>
        <v>0.80026975384961219</v>
      </c>
      <c r="O6" s="33">
        <f t="shared" si="7"/>
        <v>0.77306957401371246</v>
      </c>
      <c r="P6" s="33">
        <f t="shared" si="7"/>
        <v>0.8084747667753176</v>
      </c>
      <c r="Q6" s="33">
        <f t="shared" si="7"/>
        <v>0.80869956164999446</v>
      </c>
      <c r="R6" s="33">
        <f t="shared" si="7"/>
        <v>0.89850511408339895</v>
      </c>
      <c r="S6" s="33">
        <f t="shared" si="4"/>
        <v>0.90333820388895125</v>
      </c>
      <c r="T6" s="33">
        <f t="shared" si="4"/>
        <v>0.9370574350904799</v>
      </c>
      <c r="U6" s="33">
        <f t="shared" si="4"/>
        <v>0.94885916601101494</v>
      </c>
      <c r="V6" s="33">
        <f t="shared" ref="V6:X6" si="8">V12/$C6</f>
        <v>0.96695515342250193</v>
      </c>
      <c r="W6" s="33">
        <f t="shared" si="8"/>
        <v>0.987411487018096</v>
      </c>
      <c r="X6" s="33">
        <f t="shared" si="8"/>
        <v>1.0382151286950656</v>
      </c>
      <c r="AA6" t="s">
        <v>457</v>
      </c>
      <c r="AB6" s="88"/>
      <c r="AC6" s="88">
        <f>SUM(AC4:AC5)/SUM(AB4:AB5)</f>
        <v>0.70979294400308257</v>
      </c>
      <c r="AD6" s="92"/>
      <c r="AE6" s="88">
        <f>SUM(AE4:AE5)/SUM(AD4:AD5)</f>
        <v>0.70805517688777453</v>
      </c>
      <c r="AF6" s="92"/>
      <c r="AG6" s="88">
        <f>SUM(AG4:AG5)/SUM(AF4:AF5)</f>
        <v>0.77405229757370775</v>
      </c>
      <c r="AH6" s="92"/>
      <c r="AI6" s="88">
        <f>SUM(AI4:AI5)/SUM(AH4:AH5)</f>
        <v>0.7571221202743893</v>
      </c>
      <c r="AJ6" s="92"/>
      <c r="AK6" s="88">
        <f>SUM(AK4:AK5)/SUM(AJ4:AJ5)</f>
        <v>0.76130149079640341</v>
      </c>
      <c r="AL6" s="92"/>
      <c r="AM6" s="88">
        <f>SUM(AM4:AM5)/SUM(AL4:AL5)</f>
        <v>0.83069542457952106</v>
      </c>
      <c r="AN6" s="92"/>
      <c r="AO6" s="88">
        <f>SUM(AO4:AO5)/SUM(AN4:AN5)</f>
        <v>0.78885983855608155</v>
      </c>
      <c r="AP6" s="92"/>
      <c r="AQ6" s="88">
        <f>SUM(AQ4:AQ5)/SUM(AP4:AP5)</f>
        <v>0.74725656842707266</v>
      </c>
      <c r="AR6" s="92"/>
      <c r="AS6" s="88">
        <f>SUM(AS4:AS5)/SUM(AR4:AR5)</f>
        <v>0.74039187545785212</v>
      </c>
      <c r="AT6" s="92"/>
      <c r="AU6" s="88">
        <f>SUM(AU4:AU5)/SUM(AT4:AT5)</f>
        <v>0.78098000752988062</v>
      </c>
      <c r="AV6" s="92"/>
      <c r="AW6" s="88">
        <f>SUM(AW4:AW5)/SUM(AV4:AV5)</f>
        <v>0.85593984962406011</v>
      </c>
      <c r="AX6" s="92"/>
      <c r="AY6" s="88">
        <f>SUM(AY4:AY5)/SUM(AX4:AX5)</f>
        <v>0.82350122776546686</v>
      </c>
      <c r="AZ6" s="92"/>
      <c r="BA6" s="88">
        <f>SUM(BA4:BA5)/SUM(AZ4:AZ5)</f>
        <v>0.8608494799956915</v>
      </c>
      <c r="BB6" s="92"/>
      <c r="BC6" s="88">
        <f>SUM(BC4:BC5)/SUM(BB4:BB5)</f>
        <v>0.8849938499384995</v>
      </c>
      <c r="BD6" s="92"/>
      <c r="BE6" s="88">
        <f>SUM(BE4:BE5)/SUM(BD4:BD5)</f>
        <v>0.95350557026646621</v>
      </c>
      <c r="BF6" s="92"/>
      <c r="BG6" s="88">
        <f>SUM(BG4:BG5)/SUM(BF4:BF5)</f>
        <v>0.99384181629321866</v>
      </c>
      <c r="BH6" s="92"/>
      <c r="BI6" s="88">
        <f>SUM(BI4:BI5)/SUM(BH4:BH5)</f>
        <v>1.0267241379310346</v>
      </c>
      <c r="BJ6" s="92"/>
      <c r="BK6" s="88">
        <f>SUM(BK4:BK5)/SUM(BJ4:BJ5)</f>
        <v>1.1363999852367654</v>
      </c>
    </row>
    <row r="7" spans="2:63" x14ac:dyDescent="0.7">
      <c r="B7"/>
      <c r="C7" s="4" t="s">
        <v>458</v>
      </c>
    </row>
    <row r="8" spans="2:63" ht="21.6" x14ac:dyDescent="0.2">
      <c r="B8"/>
      <c r="C8" s="231" t="s">
        <v>410</v>
      </c>
      <c r="D8" s="34" t="s">
        <v>412</v>
      </c>
      <c r="E8" s="34" t="s">
        <v>413</v>
      </c>
      <c r="F8" s="34" t="s">
        <v>414</v>
      </c>
      <c r="G8" s="34" t="s">
        <v>415</v>
      </c>
      <c r="H8" s="34" t="s">
        <v>416</v>
      </c>
      <c r="I8" s="34" t="s">
        <v>417</v>
      </c>
      <c r="J8" s="34" t="s">
        <v>418</v>
      </c>
      <c r="K8" s="34" t="s">
        <v>419</v>
      </c>
      <c r="L8" s="34" t="s">
        <v>420</v>
      </c>
      <c r="M8" s="34" t="s">
        <v>421</v>
      </c>
      <c r="N8" s="34" t="s">
        <v>422</v>
      </c>
      <c r="O8" s="34" t="s">
        <v>423</v>
      </c>
      <c r="P8" s="34" t="s">
        <v>424</v>
      </c>
      <c r="Q8" s="34" t="s">
        <v>425</v>
      </c>
      <c r="R8" s="34" t="s">
        <v>426</v>
      </c>
      <c r="S8" s="34" t="s">
        <v>427</v>
      </c>
      <c r="T8" s="34" t="s">
        <v>428</v>
      </c>
      <c r="U8" s="34" t="s">
        <v>429</v>
      </c>
      <c r="V8" s="34" t="s">
        <v>430</v>
      </c>
      <c r="W8" s="34" t="s">
        <v>431</v>
      </c>
      <c r="X8" s="34" t="s">
        <v>432</v>
      </c>
    </row>
    <row r="9" spans="2:63" ht="18" x14ac:dyDescent="0.2">
      <c r="B9"/>
      <c r="C9" s="232"/>
      <c r="D9" s="27" t="s">
        <v>434</v>
      </c>
      <c r="E9" s="27" t="s">
        <v>435</v>
      </c>
      <c r="F9" s="27" t="s">
        <v>436</v>
      </c>
      <c r="G9" s="27" t="s">
        <v>437</v>
      </c>
      <c r="H9" s="27" t="s">
        <v>438</v>
      </c>
      <c r="I9" s="27" t="s">
        <v>439</v>
      </c>
      <c r="J9" s="27" t="s">
        <v>440</v>
      </c>
      <c r="K9" s="27" t="s">
        <v>441</v>
      </c>
      <c r="L9" s="27" t="s">
        <v>442</v>
      </c>
      <c r="M9" s="27" t="s">
        <v>443</v>
      </c>
      <c r="N9" s="27" t="s">
        <v>444</v>
      </c>
      <c r="O9" s="27" t="s">
        <v>445</v>
      </c>
      <c r="P9" s="27" t="s">
        <v>446</v>
      </c>
      <c r="Q9" s="27" t="s">
        <v>447</v>
      </c>
      <c r="R9" s="27" t="s">
        <v>448</v>
      </c>
      <c r="S9" s="27" t="s">
        <v>449</v>
      </c>
      <c r="T9" s="27" t="s">
        <v>450</v>
      </c>
      <c r="U9" s="27" t="s">
        <v>451</v>
      </c>
      <c r="V9" s="27" t="s">
        <v>452</v>
      </c>
      <c r="W9" s="27" t="s">
        <v>453</v>
      </c>
      <c r="X9" s="27" t="s">
        <v>454</v>
      </c>
    </row>
    <row r="10" spans="2:63" x14ac:dyDescent="0.7">
      <c r="B10"/>
      <c r="C10" s="12" t="s">
        <v>247</v>
      </c>
      <c r="D10" s="36">
        <v>355.57142857142856</v>
      </c>
      <c r="E10" s="37">
        <v>318.42857142857144</v>
      </c>
      <c r="F10" s="37">
        <v>312.57142857142856</v>
      </c>
      <c r="G10" s="37">
        <v>342.28571428571428</v>
      </c>
      <c r="H10" s="37">
        <v>457.28571428571428</v>
      </c>
      <c r="I10" s="37">
        <v>317.57142857142856</v>
      </c>
      <c r="J10" s="37">
        <v>343.42857142857144</v>
      </c>
      <c r="K10" s="37">
        <v>362.71428571428572</v>
      </c>
      <c r="L10" s="37">
        <v>351.57142857142856</v>
      </c>
      <c r="M10" s="37">
        <v>366.28571428571428</v>
      </c>
      <c r="N10" s="37">
        <v>351.57142857142856</v>
      </c>
      <c r="O10" s="37">
        <v>324.28571428571428</v>
      </c>
      <c r="P10" s="37">
        <v>331</v>
      </c>
      <c r="Q10" s="37">
        <v>301.28571428571428</v>
      </c>
      <c r="R10" s="37">
        <v>388.71428571428572</v>
      </c>
      <c r="S10" s="37">
        <v>370.28571428571428</v>
      </c>
      <c r="T10" s="37">
        <v>348</v>
      </c>
      <c r="U10" s="37">
        <v>334</v>
      </c>
      <c r="V10" s="37">
        <v>368</v>
      </c>
      <c r="W10" s="37">
        <v>394</v>
      </c>
      <c r="X10" s="37">
        <v>394.57142857142856</v>
      </c>
    </row>
    <row r="11" spans="2:63" x14ac:dyDescent="0.7">
      <c r="B11"/>
      <c r="C11" s="12" t="s">
        <v>249</v>
      </c>
      <c r="D11" s="38">
        <v>539.14285714285711</v>
      </c>
      <c r="E11" s="39">
        <v>520.71428571428567</v>
      </c>
      <c r="F11" s="39">
        <v>588.28571428571433</v>
      </c>
      <c r="G11" s="39">
        <v>675.14285714285711</v>
      </c>
      <c r="H11" s="39">
        <v>715.85714285714289</v>
      </c>
      <c r="I11" s="39">
        <v>713.71428571428567</v>
      </c>
      <c r="J11" s="39">
        <v>683.71428571428567</v>
      </c>
      <c r="K11" s="39">
        <v>606.42857142857144</v>
      </c>
      <c r="L11" s="39">
        <v>612.28571428571433</v>
      </c>
      <c r="M11" s="39">
        <v>648</v>
      </c>
      <c r="N11" s="39">
        <v>664.85714285714289</v>
      </c>
      <c r="O11" s="39">
        <v>657.85714285714289</v>
      </c>
      <c r="P11" s="39">
        <v>696.57142857142856</v>
      </c>
      <c r="Q11" s="39">
        <v>726.57142857142856</v>
      </c>
      <c r="R11" s="39">
        <v>753.28571428571433</v>
      </c>
      <c r="S11" s="39">
        <v>777.85714285714289</v>
      </c>
      <c r="T11" s="39">
        <v>843</v>
      </c>
      <c r="U11" s="39">
        <v>872</v>
      </c>
      <c r="V11" s="39">
        <v>861</v>
      </c>
      <c r="W11" s="39">
        <v>861</v>
      </c>
      <c r="X11" s="39">
        <v>925</v>
      </c>
    </row>
    <row r="12" spans="2:63" x14ac:dyDescent="0.7">
      <c r="B12"/>
      <c r="C12" s="12" t="s">
        <v>189</v>
      </c>
      <c r="D12" s="40">
        <v>895.42857142857144</v>
      </c>
      <c r="E12" s="41">
        <v>839.85714285714289</v>
      </c>
      <c r="F12" s="41">
        <v>926.28571428571433</v>
      </c>
      <c r="G12" s="41">
        <v>1024.7142857142858</v>
      </c>
      <c r="H12" s="41">
        <v>1175</v>
      </c>
      <c r="I12" s="41">
        <v>1038.5714285714287</v>
      </c>
      <c r="J12" s="41">
        <v>1031.1428571428571</v>
      </c>
      <c r="K12" s="41">
        <v>973.28571428571433</v>
      </c>
      <c r="L12" s="41">
        <v>990.85714285714289</v>
      </c>
      <c r="M12" s="41">
        <v>1036.8571428571429</v>
      </c>
      <c r="N12" s="41">
        <v>1017.1428571428571</v>
      </c>
      <c r="O12" s="41">
        <v>982.57142857142856</v>
      </c>
      <c r="P12" s="41">
        <v>1027.5714285714287</v>
      </c>
      <c r="Q12" s="41">
        <v>1027.8571428571429</v>
      </c>
      <c r="R12" s="41">
        <v>1142</v>
      </c>
      <c r="S12" s="41">
        <v>1148.1428571428571</v>
      </c>
      <c r="T12" s="41">
        <v>1191</v>
      </c>
      <c r="U12" s="40">
        <f>SUM(U10:U11)</f>
        <v>1206</v>
      </c>
      <c r="V12" s="40">
        <f>SUM(V10:V11)</f>
        <v>1229</v>
      </c>
      <c r="W12" s="40">
        <f>SUM(W10:W11)</f>
        <v>1255</v>
      </c>
      <c r="X12" s="40">
        <f>SUM(X10:X11)</f>
        <v>1319.5714285714284</v>
      </c>
    </row>
    <row r="13" spans="2:63" x14ac:dyDescent="0.7">
      <c r="B13"/>
      <c r="C13" s="4" t="s">
        <v>459</v>
      </c>
    </row>
    <row r="14" spans="2:63" ht="21.6" x14ac:dyDescent="0.7">
      <c r="B14"/>
      <c r="C14" s="231" t="s">
        <v>410</v>
      </c>
      <c r="D14" s="34" t="s">
        <v>412</v>
      </c>
      <c r="E14" s="34" t="s">
        <v>413</v>
      </c>
      <c r="F14" s="34" t="s">
        <v>414</v>
      </c>
      <c r="G14" s="34" t="s">
        <v>415</v>
      </c>
      <c r="H14" s="34" t="s">
        <v>416</v>
      </c>
      <c r="I14" s="34" t="s">
        <v>417</v>
      </c>
      <c r="J14" s="34" t="s">
        <v>418</v>
      </c>
      <c r="K14" s="34" t="s">
        <v>419</v>
      </c>
      <c r="L14" s="34" t="s">
        <v>420</v>
      </c>
      <c r="M14" s="34" t="s">
        <v>421</v>
      </c>
      <c r="N14" s="34" t="s">
        <v>422</v>
      </c>
      <c r="O14" s="34" t="s">
        <v>423</v>
      </c>
      <c r="P14" s="34" t="s">
        <v>424</v>
      </c>
      <c r="Q14" s="34" t="s">
        <v>425</v>
      </c>
      <c r="R14" s="34" t="s">
        <v>426</v>
      </c>
      <c r="S14" s="34" t="s">
        <v>427</v>
      </c>
      <c r="T14" s="34" t="s">
        <v>428</v>
      </c>
      <c r="U14" s="34" t="s">
        <v>429</v>
      </c>
      <c r="V14" s="34" t="s">
        <v>430</v>
      </c>
      <c r="W14" s="34" t="s">
        <v>431</v>
      </c>
      <c r="X14" s="34" t="s">
        <v>432</v>
      </c>
      <c r="Y14" s="4"/>
    </row>
    <row r="15" spans="2:63" ht="18" x14ac:dyDescent="0.2">
      <c r="B15"/>
      <c r="C15" s="232"/>
      <c r="D15" s="27" t="s">
        <v>434</v>
      </c>
      <c r="E15" s="27" t="s">
        <v>435</v>
      </c>
      <c r="F15" s="27" t="s">
        <v>436</v>
      </c>
      <c r="G15" s="27" t="s">
        <v>437</v>
      </c>
      <c r="H15" s="27" t="s">
        <v>438</v>
      </c>
      <c r="I15" s="27" t="s">
        <v>439</v>
      </c>
      <c r="J15" s="27" t="s">
        <v>440</v>
      </c>
      <c r="K15" s="27" t="s">
        <v>441</v>
      </c>
      <c r="L15" s="27" t="s">
        <v>442</v>
      </c>
      <c r="M15" s="27" t="s">
        <v>443</v>
      </c>
      <c r="N15" s="27" t="s">
        <v>444</v>
      </c>
      <c r="O15" s="27" t="s">
        <v>445</v>
      </c>
      <c r="P15" s="27" t="s">
        <v>446</v>
      </c>
      <c r="Q15" s="27" t="s">
        <v>447</v>
      </c>
      <c r="R15" s="27" t="s">
        <v>448</v>
      </c>
      <c r="S15" s="27" t="s">
        <v>449</v>
      </c>
      <c r="T15" s="27" t="s">
        <v>450</v>
      </c>
      <c r="U15" s="27" t="s">
        <v>451</v>
      </c>
      <c r="V15" s="27" t="s">
        <v>452</v>
      </c>
      <c r="W15" s="27" t="s">
        <v>453</v>
      </c>
      <c r="X15" s="27" t="s">
        <v>454</v>
      </c>
    </row>
    <row r="16" spans="2:63" x14ac:dyDescent="0.7">
      <c r="B16"/>
      <c r="C16" s="12" t="s">
        <v>247</v>
      </c>
      <c r="D16" s="36">
        <v>551.95714285714303</v>
      </c>
      <c r="E16" s="37">
        <v>541.80000000000007</v>
      </c>
      <c r="F16" s="37">
        <v>433.8</v>
      </c>
      <c r="G16" s="37">
        <v>432.12857142857143</v>
      </c>
      <c r="H16" s="37">
        <v>631.67142857142858</v>
      </c>
      <c r="I16" s="37">
        <v>480.98571428571432</v>
      </c>
      <c r="J16" s="37">
        <v>457.71428571428572</v>
      </c>
      <c r="K16" s="37">
        <v>459.12857142857143</v>
      </c>
      <c r="L16" s="37">
        <v>464.01428571428573</v>
      </c>
      <c r="M16" s="37">
        <v>460.92857142857139</v>
      </c>
      <c r="N16" s="37">
        <v>390.21428571428572</v>
      </c>
      <c r="O16" s="37">
        <v>395.35714285714283</v>
      </c>
      <c r="P16" s="37">
        <v>396.3857142857143</v>
      </c>
      <c r="Q16" s="37">
        <v>390.85714285714283</v>
      </c>
      <c r="R16" s="37">
        <v>427.1142857142857</v>
      </c>
      <c r="S16" s="37">
        <v>384.68571428571431</v>
      </c>
      <c r="T16" s="37">
        <v>389.57142857142856</v>
      </c>
      <c r="U16" s="37">
        <v>351.90000000000003</v>
      </c>
      <c r="V16" s="37">
        <v>342.51428571428573</v>
      </c>
      <c r="W16" s="37">
        <v>344.18571428571403</v>
      </c>
      <c r="X16" s="37">
        <v>344.18571428571403</v>
      </c>
    </row>
    <row r="17" spans="2:24" x14ac:dyDescent="0.7">
      <c r="B17"/>
      <c r="C17" s="12" t="s">
        <v>249</v>
      </c>
      <c r="D17" s="38">
        <v>708.57142857142856</v>
      </c>
      <c r="E17" s="39">
        <v>643.33766233766232</v>
      </c>
      <c r="F17" s="39">
        <v>730.01948051948045</v>
      </c>
      <c r="G17" s="39">
        <v>911.68181818181813</v>
      </c>
      <c r="H17" s="39">
        <v>909.29870129870119</v>
      </c>
      <c r="I17" s="39">
        <v>760.48701298701292</v>
      </c>
      <c r="J17" s="39">
        <v>844.34573425443978</v>
      </c>
      <c r="K17" s="39">
        <v>837.80597299817202</v>
      </c>
      <c r="L17" s="39">
        <v>837.80597299817202</v>
      </c>
      <c r="M17" s="39">
        <v>837.80597299817202</v>
      </c>
      <c r="N17" s="39">
        <v>797.28571428571433</v>
      </c>
      <c r="O17" s="39">
        <v>797.28571428571433</v>
      </c>
      <c r="P17" s="39">
        <v>797.28571428571433</v>
      </c>
      <c r="Q17" s="39">
        <v>770.57142857142856</v>
      </c>
      <c r="R17" s="39">
        <v>770.57142857142856</v>
      </c>
      <c r="S17" s="39">
        <v>770.57142857142856</v>
      </c>
      <c r="T17" s="39">
        <v>770.42857142857144</v>
      </c>
      <c r="U17" s="39">
        <v>794</v>
      </c>
      <c r="V17" s="39">
        <v>802.28571428571433</v>
      </c>
      <c r="W17" s="39">
        <v>810.71428571428567</v>
      </c>
      <c r="X17" s="39">
        <v>817</v>
      </c>
    </row>
    <row r="18" spans="2:24" x14ac:dyDescent="0.7">
      <c r="B18"/>
      <c r="C18" s="12" t="s">
        <v>189</v>
      </c>
      <c r="D18" s="40">
        <f>SUM(D16:D17)</f>
        <v>1260.5285714285715</v>
      </c>
      <c r="E18" s="40">
        <f t="shared" ref="E18:S18" si="9">SUM(E16:E17)</f>
        <v>1185.1376623376623</v>
      </c>
      <c r="F18" s="40">
        <f t="shared" si="9"/>
        <v>1163.8194805194805</v>
      </c>
      <c r="G18" s="40">
        <f t="shared" si="9"/>
        <v>1343.8103896103896</v>
      </c>
      <c r="H18" s="40">
        <f t="shared" si="9"/>
        <v>1540.9701298701298</v>
      </c>
      <c r="I18" s="40">
        <f t="shared" si="9"/>
        <v>1241.4727272727273</v>
      </c>
      <c r="J18" s="40">
        <f t="shared" si="9"/>
        <v>1302.0600199687256</v>
      </c>
      <c r="K18" s="40">
        <f t="shared" si="9"/>
        <v>1296.9345444267435</v>
      </c>
      <c r="L18" s="40">
        <f t="shared" si="9"/>
        <v>1301.8202587124579</v>
      </c>
      <c r="M18" s="40">
        <f t="shared" si="9"/>
        <v>1298.7345444267435</v>
      </c>
      <c r="N18" s="40">
        <f t="shared" si="9"/>
        <v>1187.5</v>
      </c>
      <c r="O18" s="40">
        <f t="shared" si="9"/>
        <v>1192.6428571428571</v>
      </c>
      <c r="P18" s="40">
        <f>SUM(P16:P17)</f>
        <v>1193.6714285714286</v>
      </c>
      <c r="Q18" s="40">
        <f t="shared" si="9"/>
        <v>1161.4285714285713</v>
      </c>
      <c r="R18" s="40">
        <f t="shared" si="9"/>
        <v>1197.6857142857143</v>
      </c>
      <c r="S18" s="40">
        <f t="shared" si="9"/>
        <v>1155.2571428571428</v>
      </c>
      <c r="T18" s="40">
        <f>SUM(T16:T17)</f>
        <v>1160</v>
      </c>
      <c r="U18" s="40">
        <f>SUM(U16:U17)</f>
        <v>1145.9000000000001</v>
      </c>
      <c r="V18" s="40">
        <f>SUM(V16:V17)</f>
        <v>1144.8000000000002</v>
      </c>
      <c r="W18" s="40">
        <f>SUM(W16:W17)</f>
        <v>1154.8999999999996</v>
      </c>
      <c r="X18" s="40">
        <f>SUM(X16:X17)</f>
        <v>1161.1857142857141</v>
      </c>
    </row>
    <row r="19" spans="2:24" x14ac:dyDescent="0.7">
      <c r="C19" s="4" t="s">
        <v>457</v>
      </c>
    </row>
    <row r="20" spans="2:24" ht="21.6" x14ac:dyDescent="0.2">
      <c r="B20"/>
      <c r="C20" s="231" t="s">
        <v>410</v>
      </c>
      <c r="D20" s="34" t="s">
        <v>412</v>
      </c>
      <c r="E20" s="34" t="s">
        <v>413</v>
      </c>
      <c r="F20" s="34" t="s">
        <v>414</v>
      </c>
      <c r="G20" s="34" t="s">
        <v>415</v>
      </c>
      <c r="H20" s="34" t="s">
        <v>416</v>
      </c>
      <c r="I20" s="34" t="s">
        <v>417</v>
      </c>
      <c r="J20" s="34" t="s">
        <v>418</v>
      </c>
      <c r="K20" s="34" t="s">
        <v>419</v>
      </c>
      <c r="L20" s="34" t="s">
        <v>420</v>
      </c>
      <c r="M20" s="34" t="s">
        <v>421</v>
      </c>
      <c r="N20" s="34" t="s">
        <v>422</v>
      </c>
      <c r="O20" s="34" t="s">
        <v>423</v>
      </c>
      <c r="P20" s="34" t="s">
        <v>424</v>
      </c>
      <c r="Q20" s="34" t="s">
        <v>425</v>
      </c>
      <c r="R20" s="34" t="s">
        <v>426</v>
      </c>
      <c r="S20" s="34" t="s">
        <v>427</v>
      </c>
      <c r="T20" s="34" t="s">
        <v>428</v>
      </c>
      <c r="U20" s="34" t="s">
        <v>429</v>
      </c>
      <c r="V20" s="34" t="s">
        <v>430</v>
      </c>
      <c r="W20" s="34" t="s">
        <v>431</v>
      </c>
      <c r="X20" s="34" t="s">
        <v>432</v>
      </c>
    </row>
    <row r="21" spans="2:24" ht="18" customHeight="1" x14ac:dyDescent="0.2">
      <c r="B21"/>
      <c r="C21" s="232"/>
      <c r="D21" s="27" t="s">
        <v>434</v>
      </c>
      <c r="E21" s="27" t="s">
        <v>435</v>
      </c>
      <c r="F21" s="27" t="s">
        <v>436</v>
      </c>
      <c r="G21" s="27" t="s">
        <v>437</v>
      </c>
      <c r="H21" s="27" t="s">
        <v>438</v>
      </c>
      <c r="I21" s="27" t="s">
        <v>439</v>
      </c>
      <c r="J21" s="27" t="s">
        <v>440</v>
      </c>
      <c r="K21" s="27" t="s">
        <v>441</v>
      </c>
      <c r="L21" s="27" t="s">
        <v>442</v>
      </c>
      <c r="M21" s="27" t="s">
        <v>443</v>
      </c>
      <c r="N21" s="27" t="s">
        <v>444</v>
      </c>
      <c r="O21" s="27" t="s">
        <v>445</v>
      </c>
      <c r="P21" s="27" t="s">
        <v>446</v>
      </c>
      <c r="Q21" s="27" t="s">
        <v>447</v>
      </c>
      <c r="R21" s="27" t="s">
        <v>448</v>
      </c>
      <c r="S21" s="27" t="s">
        <v>449</v>
      </c>
      <c r="T21" s="27" t="s">
        <v>450</v>
      </c>
      <c r="U21" s="27" t="s">
        <v>451</v>
      </c>
      <c r="V21" s="27" t="s">
        <v>452</v>
      </c>
      <c r="W21" s="27" t="s">
        <v>453</v>
      </c>
      <c r="X21" s="27" t="s">
        <v>454</v>
      </c>
    </row>
    <row r="22" spans="2:24" x14ac:dyDescent="0.7">
      <c r="B22"/>
      <c r="C22" s="12" t="s">
        <v>247</v>
      </c>
      <c r="D22" s="42">
        <f t="shared" ref="D22:X22" si="10">D10/D16</f>
        <v>0.64420115433392844</v>
      </c>
      <c r="E22" s="42">
        <f t="shared" si="10"/>
        <v>0.58772346147761423</v>
      </c>
      <c r="F22" s="42">
        <f t="shared" si="10"/>
        <v>0.72054271224395705</v>
      </c>
      <c r="G22" s="42">
        <f t="shared" si="10"/>
        <v>0.79209230057191971</v>
      </c>
      <c r="H22" s="42">
        <f t="shared" si="10"/>
        <v>0.72392971029242148</v>
      </c>
      <c r="I22" s="42">
        <f t="shared" si="10"/>
        <v>0.66025126971398018</v>
      </c>
      <c r="J22" s="42">
        <f t="shared" si="10"/>
        <v>0.75031210986267172</v>
      </c>
      <c r="K22" s="42">
        <f t="shared" si="10"/>
        <v>0.79000591182052959</v>
      </c>
      <c r="L22" s="42">
        <f t="shared" si="10"/>
        <v>0.75767371694221231</v>
      </c>
      <c r="M22" s="42">
        <f t="shared" si="10"/>
        <v>0.79466914613358131</v>
      </c>
      <c r="N22" s="42">
        <f t="shared" si="10"/>
        <v>0.90097016291414966</v>
      </c>
      <c r="O22" s="42">
        <f t="shared" si="10"/>
        <v>0.8202348690153568</v>
      </c>
      <c r="P22" s="42">
        <f t="shared" si="10"/>
        <v>0.83504523011496734</v>
      </c>
      <c r="Q22" s="42">
        <f t="shared" si="10"/>
        <v>0.77083333333333337</v>
      </c>
      <c r="R22" s="42">
        <f t="shared" si="10"/>
        <v>0.91009432069034724</v>
      </c>
      <c r="S22" s="42">
        <f t="shared" si="10"/>
        <v>0.96256684491978606</v>
      </c>
      <c r="T22" s="42">
        <f t="shared" si="10"/>
        <v>0.89328932893289337</v>
      </c>
      <c r="U22" s="42">
        <f t="shared" ref="U22:W22" si="11">U10/U16</f>
        <v>0.94913327649900525</v>
      </c>
      <c r="V22" s="42">
        <f t="shared" si="11"/>
        <v>1.0744077410744077</v>
      </c>
      <c r="W22" s="42">
        <f t="shared" si="11"/>
        <v>1.1447308346822738</v>
      </c>
      <c r="X22" s="42">
        <f t="shared" si="10"/>
        <v>1.1463910679450471</v>
      </c>
    </row>
    <row r="23" spans="2:24" x14ac:dyDescent="0.7">
      <c r="B23"/>
      <c r="C23" s="12" t="s">
        <v>249</v>
      </c>
      <c r="D23" s="42">
        <f t="shared" ref="D23:X23" si="12">D11/D17</f>
        <v>0.76088709677419353</v>
      </c>
      <c r="E23" s="42">
        <f t="shared" si="12"/>
        <v>0.80939499767850287</v>
      </c>
      <c r="F23" s="42">
        <f t="shared" si="12"/>
        <v>0.80584933687946436</v>
      </c>
      <c r="G23" s="42">
        <f t="shared" si="12"/>
        <v>0.74054658508963744</v>
      </c>
      <c r="H23" s="42">
        <f t="shared" si="12"/>
        <v>0.78726291133455228</v>
      </c>
      <c r="I23" s="42">
        <f t="shared" si="12"/>
        <v>0.93849634974170693</v>
      </c>
      <c r="J23" s="42">
        <f t="shared" si="12"/>
        <v>0.80975630950277466</v>
      </c>
      <c r="K23" s="42">
        <f t="shared" si="12"/>
        <v>0.72382937216167897</v>
      </c>
      <c r="L23" s="42">
        <f t="shared" si="12"/>
        <v>0.73082042145699799</v>
      </c>
      <c r="M23" s="42">
        <f t="shared" si="12"/>
        <v>0.77344877081869867</v>
      </c>
      <c r="N23" s="42">
        <f t="shared" si="12"/>
        <v>0.83390073463536996</v>
      </c>
      <c r="O23" s="42">
        <f t="shared" si="12"/>
        <v>0.82512094606701303</v>
      </c>
      <c r="P23" s="42">
        <f t="shared" si="12"/>
        <v>0.87367855223078295</v>
      </c>
      <c r="Q23" s="42">
        <f t="shared" si="12"/>
        <v>0.94289951798294402</v>
      </c>
      <c r="R23" s="42">
        <f t="shared" si="12"/>
        <v>0.97756766777901383</v>
      </c>
      <c r="S23" s="42">
        <f t="shared" si="12"/>
        <v>1.0094549499443828</v>
      </c>
      <c r="T23" s="42">
        <f t="shared" si="12"/>
        <v>1.0941961802336362</v>
      </c>
      <c r="U23" s="42">
        <f t="shared" ref="U23:W23" si="13">U11/U17</f>
        <v>1.0982367758186398</v>
      </c>
      <c r="V23" s="42">
        <f t="shared" si="13"/>
        <v>1.0731837606837606</v>
      </c>
      <c r="W23" s="42">
        <f t="shared" si="13"/>
        <v>1.0620264317180617</v>
      </c>
      <c r="X23" s="42">
        <f t="shared" si="12"/>
        <v>1.1321909424724603</v>
      </c>
    </row>
    <row r="24" spans="2:24" x14ac:dyDescent="0.7">
      <c r="B24"/>
      <c r="C24" s="12" t="s">
        <v>189</v>
      </c>
      <c r="D24" s="42">
        <f t="shared" ref="D24:T24" si="14">D12/D18</f>
        <v>0.71035959971440554</v>
      </c>
      <c r="E24" s="42">
        <f t="shared" si="14"/>
        <v>0.70865787962601756</v>
      </c>
      <c r="F24" s="42">
        <f t="shared" si="14"/>
        <v>0.79590153781603568</v>
      </c>
      <c r="G24" s="42">
        <f t="shared" si="14"/>
        <v>0.7625438035282498</v>
      </c>
      <c r="H24" s="42">
        <f t="shared" si="14"/>
        <v>0.76250666850954918</v>
      </c>
      <c r="I24" s="42">
        <f t="shared" si="14"/>
        <v>0.83656403057114825</v>
      </c>
      <c r="J24" s="42">
        <f t="shared" si="14"/>
        <v>0.79193189356019422</v>
      </c>
      <c r="K24" s="42">
        <f t="shared" si="14"/>
        <v>0.75045091401734165</v>
      </c>
      <c r="L24" s="42">
        <f t="shared" si="14"/>
        <v>0.76113206583306092</v>
      </c>
      <c r="M24" s="42">
        <f t="shared" si="14"/>
        <v>0.79835956262702457</v>
      </c>
      <c r="N24" s="42">
        <f t="shared" si="14"/>
        <v>0.8565413533834586</v>
      </c>
      <c r="O24" s="42">
        <f t="shared" si="14"/>
        <v>0.82386057375576449</v>
      </c>
      <c r="P24" s="42">
        <f t="shared" si="14"/>
        <v>0.86084947999569161</v>
      </c>
      <c r="Q24" s="42">
        <f t="shared" si="14"/>
        <v>0.8849938499384995</v>
      </c>
      <c r="R24" s="42">
        <f t="shared" si="14"/>
        <v>0.95350557026646621</v>
      </c>
      <c r="S24" s="42">
        <f t="shared" si="14"/>
        <v>0.99384181629321866</v>
      </c>
      <c r="T24" s="42">
        <f t="shared" si="14"/>
        <v>1.0267241379310346</v>
      </c>
      <c r="U24" s="42">
        <f t="shared" ref="U24:X24" si="15">U12/U18</f>
        <v>1.0524478575791953</v>
      </c>
      <c r="V24" s="42">
        <f t="shared" si="15"/>
        <v>1.0735499650593989</v>
      </c>
      <c r="W24" s="42">
        <f t="shared" si="15"/>
        <v>1.0866741709238898</v>
      </c>
      <c r="X24" s="42">
        <f t="shared" si="15"/>
        <v>1.1363999852367654</v>
      </c>
    </row>
    <row r="25" spans="2:24" x14ac:dyDescent="0.7">
      <c r="C25" s="4" t="s">
        <v>460</v>
      </c>
    </row>
    <row r="26" spans="2:24" hidden="1" outlineLevel="1" x14ac:dyDescent="0.7"/>
    <row r="27" spans="2:24" hidden="1" outlineLevel="1" x14ac:dyDescent="0.7"/>
    <row r="28" spans="2:24" hidden="1" outlineLevel="1" x14ac:dyDescent="0.7">
      <c r="C28" s="4" t="s">
        <v>247</v>
      </c>
      <c r="D28" s="4" t="s">
        <v>249</v>
      </c>
      <c r="E28" s="4" t="s">
        <v>340</v>
      </c>
      <c r="F28" s="4" t="s">
        <v>189</v>
      </c>
      <c r="G28" s="4" t="s">
        <v>461</v>
      </c>
    </row>
    <row r="29" spans="2:24" hidden="1" outlineLevel="1" x14ac:dyDescent="0.7">
      <c r="B29" s="4" t="s">
        <v>462</v>
      </c>
      <c r="C29" s="87">
        <v>17480</v>
      </c>
      <c r="D29" s="87">
        <v>20400</v>
      </c>
      <c r="E29" s="87">
        <v>8100</v>
      </c>
      <c r="F29" s="89">
        <f>SUM(C29:E29)</f>
        <v>45980</v>
      </c>
    </row>
    <row r="30" spans="2:24" hidden="1" outlineLevel="1" x14ac:dyDescent="0.7">
      <c r="B30" s="4" t="s">
        <v>463</v>
      </c>
      <c r="C30" s="87">
        <v>17664</v>
      </c>
      <c r="D30" s="87">
        <v>16626</v>
      </c>
      <c r="E30" s="87">
        <v>5430</v>
      </c>
      <c r="F30" s="89">
        <f>SUM(C30:E30)</f>
        <v>39720</v>
      </c>
      <c r="G30" s="89">
        <f>F30-F29</f>
        <v>-6260</v>
      </c>
    </row>
    <row r="31" spans="2:24" hidden="1" outlineLevel="1" x14ac:dyDescent="0.7">
      <c r="B31" s="4" t="s">
        <v>459</v>
      </c>
      <c r="C31" s="87">
        <f>16900*0.9</f>
        <v>15210</v>
      </c>
      <c r="D31" s="87">
        <v>20500</v>
      </c>
      <c r="E31" s="87">
        <v>6500</v>
      </c>
      <c r="F31" s="89">
        <f>SUM(C31:E31)</f>
        <v>42210</v>
      </c>
    </row>
    <row r="32" spans="2:24" hidden="1" outlineLevel="1" x14ac:dyDescent="0.7">
      <c r="B32" s="4" t="s">
        <v>464</v>
      </c>
      <c r="C32" s="87">
        <f>16000</f>
        <v>16000</v>
      </c>
      <c r="D32" s="87">
        <v>20500</v>
      </c>
      <c r="E32" s="87">
        <v>6000</v>
      </c>
      <c r="F32" s="89">
        <f>SUM(C32:E32)</f>
        <v>42500</v>
      </c>
      <c r="G32" s="89">
        <f>F32-F31</f>
        <v>290</v>
      </c>
    </row>
    <row r="33" spans="2:25" hidden="1" outlineLevel="1" x14ac:dyDescent="0.7">
      <c r="B33" s="4" t="s">
        <v>465</v>
      </c>
      <c r="C33" s="88">
        <f>C32/C31</f>
        <v>1.051939513477975</v>
      </c>
      <c r="D33" s="88">
        <f>D32/D31</f>
        <v>1</v>
      </c>
      <c r="E33" s="88">
        <f>E32/E31</f>
        <v>0.92307692307692313</v>
      </c>
      <c r="F33" s="88">
        <f>F32/F31</f>
        <v>1.0068704098554844</v>
      </c>
    </row>
    <row r="34" spans="2:25" hidden="1" outlineLevel="1" x14ac:dyDescent="0.7">
      <c r="B34"/>
      <c r="C34"/>
      <c r="D34"/>
    </row>
    <row r="35" spans="2:25" hidden="1" outlineLevel="1" x14ac:dyDescent="0.7">
      <c r="B35"/>
      <c r="C35"/>
      <c r="D35"/>
    </row>
    <row r="36" spans="2:25" hidden="1" outlineLevel="1" x14ac:dyDescent="0.7">
      <c r="B36"/>
      <c r="C36"/>
      <c r="D36"/>
    </row>
    <row r="37" spans="2:25" hidden="1" outlineLevel="1" x14ac:dyDescent="0.7">
      <c r="B37"/>
      <c r="C37"/>
      <c r="D37"/>
    </row>
    <row r="38" spans="2:25" hidden="1" outlineLevel="1" x14ac:dyDescent="0.7">
      <c r="B38"/>
      <c r="C38"/>
      <c r="D38"/>
    </row>
    <row r="39" spans="2:25" hidden="1" outlineLevel="1" x14ac:dyDescent="0.7">
      <c r="C39" s="3" t="s">
        <v>466</v>
      </c>
      <c r="D39" s="3" t="s">
        <v>467</v>
      </c>
      <c r="E39" s="3" t="s">
        <v>412</v>
      </c>
      <c r="F39" s="3" t="s">
        <v>413</v>
      </c>
      <c r="G39" s="3" t="s">
        <v>414</v>
      </c>
      <c r="H39" s="3" t="s">
        <v>415</v>
      </c>
      <c r="I39" s="3" t="s">
        <v>416</v>
      </c>
      <c r="J39" s="3" t="s">
        <v>417</v>
      </c>
      <c r="K39" s="3" t="s">
        <v>418</v>
      </c>
      <c r="L39" s="3" t="s">
        <v>419</v>
      </c>
      <c r="M39" s="3" t="s">
        <v>420</v>
      </c>
      <c r="N39" s="3" t="s">
        <v>421</v>
      </c>
      <c r="O39" s="3" t="s">
        <v>422</v>
      </c>
      <c r="P39" s="3" t="s">
        <v>423</v>
      </c>
      <c r="Q39" s="3" t="s">
        <v>424</v>
      </c>
      <c r="R39" s="3" t="s">
        <v>425</v>
      </c>
      <c r="S39" s="3" t="s">
        <v>426</v>
      </c>
      <c r="T39" s="3" t="s">
        <v>427</v>
      </c>
      <c r="U39" s="3" t="s">
        <v>428</v>
      </c>
      <c r="V39" s="3" t="s">
        <v>428</v>
      </c>
      <c r="W39" s="3" t="s">
        <v>428</v>
      </c>
      <c r="X39" s="3" t="s">
        <v>428</v>
      </c>
      <c r="Y39" s="3" t="s">
        <v>429</v>
      </c>
    </row>
    <row r="40" spans="2:25" hidden="1" outlineLevel="1" x14ac:dyDescent="0.7">
      <c r="C40" s="3" t="s">
        <v>468</v>
      </c>
      <c r="D40" s="3"/>
      <c r="E40" s="3">
        <v>613.28571428571433</v>
      </c>
      <c r="F40" s="3">
        <v>602</v>
      </c>
      <c r="G40" s="3">
        <v>482</v>
      </c>
      <c r="H40" s="3">
        <v>480.14285714285717</v>
      </c>
      <c r="I40" s="3">
        <v>701.85714285714289</v>
      </c>
      <c r="J40" s="3">
        <v>534.42857142857144</v>
      </c>
      <c r="K40" s="3">
        <v>508.57142857142856</v>
      </c>
      <c r="L40" s="3">
        <v>510.14285714285717</v>
      </c>
      <c r="M40" s="3">
        <v>515.57142857142856</v>
      </c>
      <c r="N40" s="3">
        <v>512.14285714285711</v>
      </c>
      <c r="O40" s="3">
        <v>433.57142857142856</v>
      </c>
      <c r="P40" s="3">
        <v>439.28571428571428</v>
      </c>
      <c r="Q40" s="3">
        <v>440.42857142857144</v>
      </c>
      <c r="R40" s="3">
        <v>434.28571428571428</v>
      </c>
      <c r="S40" s="3">
        <v>474.57142857142856</v>
      </c>
      <c r="T40" s="3">
        <v>427.42857142857144</v>
      </c>
      <c r="U40" s="3">
        <v>432.85714285714283</v>
      </c>
      <c r="V40" s="3">
        <v>432.85714285714283</v>
      </c>
      <c r="W40" s="3">
        <v>432.85714285714283</v>
      </c>
      <c r="X40" s="3">
        <v>432.85714285714283</v>
      </c>
      <c r="Y40" s="3">
        <v>391</v>
      </c>
    </row>
    <row r="41" spans="2:25" hidden="1" outlineLevel="1" x14ac:dyDescent="0.7">
      <c r="B41" s="4" t="s">
        <v>469</v>
      </c>
      <c r="C41" s="3" t="s">
        <v>470</v>
      </c>
      <c r="D41" s="93">
        <v>0.9</v>
      </c>
      <c r="E41" s="94">
        <f>E40*$D$41</f>
        <v>551.95714285714291</v>
      </c>
      <c r="F41" s="94">
        <f t="shared" ref="F41:Y41" si="16">F40*$D$41</f>
        <v>541.80000000000007</v>
      </c>
      <c r="G41" s="94">
        <f t="shared" si="16"/>
        <v>433.8</v>
      </c>
      <c r="H41" s="94">
        <f t="shared" si="16"/>
        <v>432.12857142857143</v>
      </c>
      <c r="I41" s="94">
        <f t="shared" si="16"/>
        <v>631.67142857142858</v>
      </c>
      <c r="J41" s="94">
        <f t="shared" si="16"/>
        <v>480.98571428571432</v>
      </c>
      <c r="K41" s="94">
        <f t="shared" si="16"/>
        <v>457.71428571428572</v>
      </c>
      <c r="L41" s="94">
        <f t="shared" si="16"/>
        <v>459.12857142857143</v>
      </c>
      <c r="M41" s="94">
        <f t="shared" si="16"/>
        <v>464.01428571428573</v>
      </c>
      <c r="N41" s="94">
        <f t="shared" si="16"/>
        <v>460.92857142857139</v>
      </c>
      <c r="O41" s="94">
        <f t="shared" si="16"/>
        <v>390.21428571428572</v>
      </c>
      <c r="P41" s="94">
        <f t="shared" si="16"/>
        <v>395.35714285714283</v>
      </c>
      <c r="Q41" s="94">
        <f t="shared" si="16"/>
        <v>396.3857142857143</v>
      </c>
      <c r="R41" s="94">
        <f t="shared" si="16"/>
        <v>390.85714285714283</v>
      </c>
      <c r="S41" s="94">
        <f t="shared" si="16"/>
        <v>427.1142857142857</v>
      </c>
      <c r="T41" s="94">
        <f t="shared" si="16"/>
        <v>384.68571428571431</v>
      </c>
      <c r="U41" s="94">
        <f t="shared" ref="U41:W41" si="17">U40*$D$41</f>
        <v>389.57142857142856</v>
      </c>
      <c r="V41" s="94">
        <f t="shared" si="17"/>
        <v>389.57142857142856</v>
      </c>
      <c r="W41" s="94">
        <f t="shared" si="17"/>
        <v>389.57142857142856</v>
      </c>
      <c r="X41" s="94">
        <f t="shared" si="16"/>
        <v>389.57142857142856</v>
      </c>
      <c r="Y41" s="94">
        <f t="shared" si="16"/>
        <v>351.90000000000003</v>
      </c>
    </row>
    <row r="42" spans="2:25" collapsed="1" x14ac:dyDescent="0.7">
      <c r="Y42" s="4"/>
    </row>
    <row r="43" spans="2:25" x14ac:dyDescent="0.7">
      <c r="Y43" s="4"/>
    </row>
    <row r="44" spans="2:25" x14ac:dyDescent="0.7">
      <c r="Y44" s="4"/>
    </row>
    <row r="45" spans="2:25" x14ac:dyDescent="0.7">
      <c r="Y45" s="4"/>
    </row>
    <row r="46" spans="2:25" x14ac:dyDescent="0.7">
      <c r="Y46" s="4"/>
    </row>
    <row r="47" spans="2:25" x14ac:dyDescent="0.7">
      <c r="Y47" s="4"/>
    </row>
    <row r="48" spans="2:25" x14ac:dyDescent="0.7">
      <c r="Y48" s="4"/>
    </row>
    <row r="49" spans="25:25" x14ac:dyDescent="0.7">
      <c r="Y49" s="4"/>
    </row>
    <row r="50" spans="25:25" x14ac:dyDescent="0.7">
      <c r="Y50" s="4"/>
    </row>
    <row r="51" spans="25:25" x14ac:dyDescent="0.7">
      <c r="Y51" s="4"/>
    </row>
    <row r="52" spans="25:25" x14ac:dyDescent="0.7">
      <c r="Y52" s="4"/>
    </row>
  </sheetData>
  <mergeCells count="4">
    <mergeCell ref="B2:B3"/>
    <mergeCell ref="C8:C9"/>
    <mergeCell ref="C14:C15"/>
    <mergeCell ref="C20:C21"/>
  </mergeCells>
  <phoneticPr fontId="20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B873A-F4F5-41E2-BA7C-715B953048F7}">
  <sheetPr>
    <tabColor theme="4" tint="0.79998168889431442"/>
  </sheetPr>
  <dimension ref="B2:V14"/>
  <sheetViews>
    <sheetView showGridLines="0" zoomScale="90" zoomScaleNormal="90" workbookViewId="0"/>
  </sheetViews>
  <sheetFormatPr defaultRowHeight="21" x14ac:dyDescent="0.7"/>
  <cols>
    <col min="1" max="1" width="3.33203125" customWidth="1"/>
    <col min="17" max="22" width="8.6640625" style="4"/>
  </cols>
  <sheetData>
    <row r="2" spans="2:18" x14ac:dyDescent="0.7">
      <c r="B2" s="4" t="s">
        <v>471</v>
      </c>
      <c r="R2" s="4" t="s">
        <v>472</v>
      </c>
    </row>
    <row r="3" spans="2:18" x14ac:dyDescent="0.7">
      <c r="B3" s="98" t="s">
        <v>473</v>
      </c>
      <c r="R3" s="99" t="s">
        <v>474</v>
      </c>
    </row>
    <row r="4" spans="2:18" x14ac:dyDescent="0.7">
      <c r="R4" s="4" t="s">
        <v>475</v>
      </c>
    </row>
    <row r="5" spans="2:18" x14ac:dyDescent="0.7">
      <c r="R5" s="4" t="s">
        <v>476</v>
      </c>
    </row>
    <row r="6" spans="2:18" x14ac:dyDescent="0.7">
      <c r="R6" s="4" t="s">
        <v>477</v>
      </c>
    </row>
    <row r="7" spans="2:18" x14ac:dyDescent="0.7">
      <c r="R7" s="99" t="s">
        <v>478</v>
      </c>
    </row>
    <row r="8" spans="2:18" x14ac:dyDescent="0.7">
      <c r="R8" s="4" t="s">
        <v>479</v>
      </c>
    </row>
    <row r="9" spans="2:18" x14ac:dyDescent="0.7">
      <c r="R9" s="4" t="s">
        <v>480</v>
      </c>
    </row>
    <row r="10" spans="2:18" x14ac:dyDescent="0.7">
      <c r="R10" s="4" t="s">
        <v>481</v>
      </c>
    </row>
    <row r="12" spans="2:18" x14ac:dyDescent="0.7">
      <c r="R12" s="98" t="s">
        <v>482</v>
      </c>
    </row>
    <row r="13" spans="2:18" x14ac:dyDescent="0.7">
      <c r="R13" s="98" t="s">
        <v>483</v>
      </c>
    </row>
    <row r="14" spans="2:18" x14ac:dyDescent="0.7">
      <c r="R14" s="98" t="s">
        <v>484</v>
      </c>
    </row>
  </sheetData>
  <phoneticPr fontId="20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5F1D-F567-4FD5-BC5A-999E804FD950}">
  <dimension ref="A1:E18"/>
  <sheetViews>
    <sheetView workbookViewId="0">
      <selection activeCell="E11" sqref="E11"/>
    </sheetView>
  </sheetViews>
  <sheetFormatPr defaultColWidth="9.33203125" defaultRowHeight="20.25" customHeight="1" x14ac:dyDescent="0.75"/>
  <cols>
    <col min="1" max="1" width="9.33203125" style="111"/>
    <col min="2" max="2" width="15.33203125" style="111" customWidth="1"/>
    <col min="3" max="3" width="30.33203125" style="111" customWidth="1"/>
    <col min="4" max="4" width="11.6640625" style="111" customWidth="1"/>
    <col min="5" max="16384" width="9.33203125" style="111"/>
  </cols>
  <sheetData>
    <row r="1" spans="1:5" ht="20.25" customHeight="1" x14ac:dyDescent="0.75">
      <c r="A1" s="112" t="s">
        <v>288</v>
      </c>
      <c r="B1" s="112" t="s">
        <v>485</v>
      </c>
      <c r="C1" s="112" t="s">
        <v>486</v>
      </c>
      <c r="D1" s="113" t="s">
        <v>487</v>
      </c>
      <c r="E1" s="112"/>
    </row>
    <row r="2" spans="1:5" ht="20.25" customHeight="1" x14ac:dyDescent="0.75">
      <c r="A2" s="112">
        <v>1</v>
      </c>
      <c r="B2" s="112" t="s">
        <v>488</v>
      </c>
      <c r="C2" s="112" t="s">
        <v>489</v>
      </c>
      <c r="D2" s="113" t="s">
        <v>490</v>
      </c>
      <c r="E2" s="112"/>
    </row>
    <row r="3" spans="1:5" ht="20.25" customHeight="1" x14ac:dyDescent="0.75">
      <c r="A3" s="112">
        <v>2</v>
      </c>
      <c r="B3" s="112" t="s">
        <v>488</v>
      </c>
      <c r="C3" s="112" t="s">
        <v>491</v>
      </c>
      <c r="D3" s="113" t="s">
        <v>492</v>
      </c>
      <c r="E3" s="112"/>
    </row>
    <row r="4" spans="1:5" ht="20.25" customHeight="1" x14ac:dyDescent="0.75">
      <c r="A4" s="112">
        <v>3</v>
      </c>
      <c r="B4" s="112" t="s">
        <v>488</v>
      </c>
      <c r="C4" s="112" t="s">
        <v>493</v>
      </c>
      <c r="D4" s="113" t="s">
        <v>492</v>
      </c>
      <c r="E4" s="112"/>
    </row>
    <row r="5" spans="1:5" ht="20.25" customHeight="1" x14ac:dyDescent="0.75">
      <c r="A5" s="112">
        <v>4</v>
      </c>
      <c r="B5" s="112" t="s">
        <v>488</v>
      </c>
      <c r="C5" s="112" t="s">
        <v>494</v>
      </c>
      <c r="D5" s="113" t="s">
        <v>492</v>
      </c>
      <c r="E5" s="112"/>
    </row>
    <row r="6" spans="1:5" ht="20.25" customHeight="1" x14ac:dyDescent="0.75">
      <c r="A6" s="112">
        <v>5</v>
      </c>
      <c r="B6" s="112" t="s">
        <v>495</v>
      </c>
      <c r="C6" s="112" t="s">
        <v>496</v>
      </c>
      <c r="D6" s="113" t="s">
        <v>492</v>
      </c>
      <c r="E6" s="112"/>
    </row>
    <row r="7" spans="1:5" ht="20.25" customHeight="1" x14ac:dyDescent="0.75">
      <c r="A7" s="112">
        <v>6</v>
      </c>
      <c r="B7" s="112" t="s">
        <v>495</v>
      </c>
      <c r="C7" s="112" t="s">
        <v>497</v>
      </c>
      <c r="D7" s="113" t="s">
        <v>492</v>
      </c>
      <c r="E7" s="112"/>
    </row>
    <row r="8" spans="1:5" ht="20.25" customHeight="1" x14ac:dyDescent="0.75">
      <c r="A8" s="112">
        <v>7</v>
      </c>
      <c r="B8" s="112" t="s">
        <v>495</v>
      </c>
      <c r="C8" s="112" t="s">
        <v>498</v>
      </c>
      <c r="D8" s="113" t="s">
        <v>492</v>
      </c>
      <c r="E8" s="112"/>
    </row>
    <row r="9" spans="1:5" ht="20.25" customHeight="1" x14ac:dyDescent="0.75">
      <c r="A9" s="112">
        <v>8</v>
      </c>
      <c r="B9" s="112" t="s">
        <v>495</v>
      </c>
      <c r="C9" s="112" t="s">
        <v>499</v>
      </c>
      <c r="D9" s="113" t="s">
        <v>492</v>
      </c>
      <c r="E9" s="112"/>
    </row>
    <row r="10" spans="1:5" ht="20.25" customHeight="1" x14ac:dyDescent="0.75">
      <c r="A10" s="112">
        <v>9</v>
      </c>
      <c r="B10" s="112" t="s">
        <v>500</v>
      </c>
      <c r="C10" s="112" t="s">
        <v>501</v>
      </c>
      <c r="D10" s="113" t="s">
        <v>490</v>
      </c>
      <c r="E10" s="112" t="s">
        <v>502</v>
      </c>
    </row>
    <row r="11" spans="1:5" ht="20.25" customHeight="1" x14ac:dyDescent="0.75">
      <c r="A11" s="112">
        <v>10</v>
      </c>
      <c r="B11" s="112" t="s">
        <v>500</v>
      </c>
      <c r="C11" s="112" t="s">
        <v>503</v>
      </c>
      <c r="D11" s="113" t="s">
        <v>492</v>
      </c>
      <c r="E11" s="112"/>
    </row>
    <row r="12" spans="1:5" ht="20.25" customHeight="1" x14ac:dyDescent="0.75">
      <c r="A12" s="112">
        <v>11</v>
      </c>
      <c r="B12" s="112" t="s">
        <v>500</v>
      </c>
      <c r="C12" s="112" t="s">
        <v>504</v>
      </c>
      <c r="D12" s="113" t="s">
        <v>492</v>
      </c>
      <c r="E12" s="112"/>
    </row>
    <row r="13" spans="1:5" ht="20.25" customHeight="1" x14ac:dyDescent="0.75">
      <c r="A13" s="112">
        <v>12</v>
      </c>
      <c r="B13" s="112" t="s">
        <v>500</v>
      </c>
      <c r="C13" s="112" t="s">
        <v>505</v>
      </c>
      <c r="D13" s="113" t="s">
        <v>492</v>
      </c>
      <c r="E13" s="112"/>
    </row>
    <row r="14" spans="1:5" ht="20.25" customHeight="1" x14ac:dyDescent="0.75">
      <c r="A14" s="112">
        <v>13</v>
      </c>
      <c r="B14" s="112" t="s">
        <v>500</v>
      </c>
      <c r="C14" s="112" t="s">
        <v>506</v>
      </c>
      <c r="D14" s="113" t="s">
        <v>492</v>
      </c>
      <c r="E14" s="112"/>
    </row>
    <row r="15" spans="1:5" ht="20.25" customHeight="1" x14ac:dyDescent="0.75">
      <c r="A15" s="112">
        <v>14</v>
      </c>
      <c r="B15" s="112" t="s">
        <v>500</v>
      </c>
      <c r="C15" s="112" t="s">
        <v>507</v>
      </c>
      <c r="D15" s="113" t="s">
        <v>492</v>
      </c>
      <c r="E15" s="112"/>
    </row>
    <row r="16" spans="1:5" ht="20.25" customHeight="1" x14ac:dyDescent="0.75">
      <c r="A16" s="112">
        <v>15</v>
      </c>
      <c r="B16" s="112" t="s">
        <v>500</v>
      </c>
      <c r="C16" s="112" t="s">
        <v>508</v>
      </c>
      <c r="D16" s="113" t="s">
        <v>492</v>
      </c>
      <c r="E16" s="112"/>
    </row>
    <row r="17" spans="1:4" ht="20.25" customHeight="1" x14ac:dyDescent="0.75">
      <c r="A17" s="112">
        <v>16</v>
      </c>
      <c r="B17" s="112" t="s">
        <v>500</v>
      </c>
      <c r="C17" s="112" t="s">
        <v>509</v>
      </c>
      <c r="D17" s="113" t="s">
        <v>492</v>
      </c>
    </row>
    <row r="18" spans="1:4" ht="20.25" customHeight="1" x14ac:dyDescent="0.75">
      <c r="A18" s="112">
        <v>17</v>
      </c>
      <c r="B18" s="112" t="s">
        <v>500</v>
      </c>
      <c r="C18" s="112" t="s">
        <v>510</v>
      </c>
      <c r="D18" s="113" t="s">
        <v>490</v>
      </c>
    </row>
  </sheetData>
  <phoneticPr fontId="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デイリーレポート</vt:lpstr>
      <vt:lpstr>目標</vt:lpstr>
      <vt:lpstr>週別×領域2別集計</vt:lpstr>
      <vt:lpstr>領域別コンディション</vt:lpstr>
      <vt:lpstr>SEM_ブレイクダウン</vt:lpstr>
      <vt:lpstr>PJT管理</vt:lpstr>
      <vt:lpstr>サマリ</vt:lpstr>
      <vt:lpstr>DM関連相談</vt:lpstr>
      <vt:lpstr>楽天経済圏外DM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Kitahara, Marika | RM</cp:lastModifiedBy>
  <cp:revision/>
  <dcterms:created xsi:type="dcterms:W3CDTF">2025-08-06T07:29:14Z</dcterms:created>
  <dcterms:modified xsi:type="dcterms:W3CDTF">2025-11-19T01:37:23Z</dcterms:modified>
  <cp:category/>
  <cp:contentStatus/>
</cp:coreProperties>
</file>